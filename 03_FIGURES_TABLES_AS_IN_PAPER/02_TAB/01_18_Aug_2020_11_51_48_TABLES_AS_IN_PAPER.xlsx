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1_A_DescStats" sheetId="1" r:id="rId2"/>
    <sheet name="T1_B_DescStats" sheetId="2" r:id="rId4"/>
    <sheet name="T1_C_DescStats" sheetId="3" r:id="rId5"/>
    <sheet name="T2_A_DescAnalysis" sheetId="4" r:id="rId6"/>
    <sheet name="T2_B_DescAnalysis" sheetId="5" r:id="rId7"/>
    <sheet name="T3_A_RegAnalysis" sheetId="6" r:id="rId8"/>
    <sheet name="T3_B_DiD" sheetId="7" r:id="rId9"/>
    <sheet name="T3_C_AdjSpeed" sheetId="8" r:id="rId10"/>
    <sheet name="T4_Add_Effects" sheetId="9" r:id="rId11"/>
    <sheet name="T5_Add_Partner" sheetId="10" r:id="rId12"/>
    <sheet name="T6_Rob_AltExplanations" sheetId="11" r:id="rId13"/>
    <sheet name="T7_Rob_AltIdentification" sheetId="12" r:id="rId14"/>
  </sheets>
  <calcPr calcId="125725" fullCalcOnLoad="true"/>
</workbook>
</file>

<file path=xl/sharedStrings.xml><?xml version="1.0" encoding="utf-8"?>
<sst xmlns="http://schemas.openxmlformats.org/spreadsheetml/2006/main" count="418" uniqueCount="192">
  <si>
    <t>Panel A Descriptive Statistics of Firm Controls [t1; t3]</t>
  </si>
  <si>
    <t>N</t>
  </si>
  <si>
    <t>hightolow</t>
  </si>
  <si>
    <t>'== 1</t>
  </si>
  <si>
    <t>'== 0</t>
  </si>
  <si>
    <t>lowtohigh</t>
  </si>
  <si>
    <t>mean</t>
  </si>
  <si>
    <t>p50</t>
  </si>
  <si>
    <t>cash ETR3</t>
  </si>
  <si>
    <t>delta cash ETR3</t>
  </si>
  <si>
    <t>EBITDA3</t>
  </si>
  <si>
    <t>RnDExp3</t>
  </si>
  <si>
    <t>AdExp3</t>
  </si>
  <si>
    <t>SGA3</t>
  </si>
  <si>
    <t>CapEx3</t>
  </si>
  <si>
    <t>ChangeSale3</t>
  </si>
  <si>
    <t>Leverage3</t>
  </si>
  <si>
    <t>Cash3</t>
  </si>
  <si>
    <t>MNE3</t>
  </si>
  <si>
    <t>NOL3</t>
  </si>
  <si>
    <t>Intangibles3</t>
  </si>
  <si>
    <t>PPE3</t>
  </si>
  <si>
    <t>Size3</t>
  </si>
  <si>
    <t>Table 1 Information on Networks and Firms</t>
  </si>
  <si>
    <t>Table 1 Information on Networks and Firms (continued)</t>
  </si>
  <si>
    <t>Panel B Descriptive Statistics of Partner and Network Controls</t>
  </si>
  <si>
    <t>n (mean)</t>
  </si>
  <si>
    <t>hightolow == 1</t>
  </si>
  <si>
    <t>hightolow == 0</t>
  </si>
  <si>
    <t>lowtohigh == 1</t>
  </si>
  <si>
    <t>lowtohigh == 0</t>
  </si>
  <si>
    <t>Partner Controls</t>
  </si>
  <si>
    <t>Network Controls (Purpose_)</t>
  </si>
  <si>
    <t>SameAuditor</t>
  </si>
  <si>
    <t>SameInd</t>
  </si>
  <si>
    <t>SameBEARegion</t>
  </si>
  <si>
    <t>Proximity</t>
  </si>
  <si>
    <t>Wholesale</t>
  </si>
  <si>
    <t>R&amp;D</t>
  </si>
  <si>
    <t>Licensing</t>
  </si>
  <si>
    <t>Service</t>
  </si>
  <si>
    <t>Marketing</t>
  </si>
  <si>
    <t>Supply Chain</t>
  </si>
  <si>
    <t>Manufacturing</t>
  </si>
  <si>
    <t>44 (0.2189)</t>
  </si>
  <si>
    <t>81 (0.4030)</t>
  </si>
  <si>
    <t>45 (0.2239)</t>
  </si>
  <si>
    <t xml:space="preserve"> (0.0253) </t>
  </si>
  <si>
    <t>24 (0.1194)</t>
  </si>
  <si>
    <t>52 (0.2587)</t>
  </si>
  <si>
    <t>30 (0.1493)</t>
  </si>
  <si>
    <t>86 (0.4279)</t>
  </si>
  <si>
    <t>15 (0.0746)</t>
  </si>
  <si>
    <t>31 (0.1542)</t>
  </si>
  <si>
    <t>122 (0.1946)</t>
  </si>
  <si>
    <t>260 (0.4147)</t>
  </si>
  <si>
    <t>130 (0.2073)</t>
  </si>
  <si>
    <t xml:space="preserve"> (0.0255) </t>
  </si>
  <si>
    <t>30 (0.0478)</t>
  </si>
  <si>
    <t>183 (0.2919)</t>
  </si>
  <si>
    <t>114 (0.1818)</t>
  </si>
  <si>
    <t>270 (0.4306)</t>
  </si>
  <si>
    <t>62 (0.0989)</t>
  </si>
  <si>
    <t>42 (0.0670)</t>
  </si>
  <si>
    <t>46 (0.0734)</t>
  </si>
  <si>
    <t>44 (0.2222)</t>
  </si>
  <si>
    <t>81 (0.4091)</t>
  </si>
  <si>
    <t>46 (0.2323)</t>
  </si>
  <si>
    <t xml:space="preserve"> (0.0262) </t>
  </si>
  <si>
    <t>24 (0.1212)</t>
  </si>
  <si>
    <t>51 (0.2576)</t>
  </si>
  <si>
    <t>30 (0.1515)</t>
  </si>
  <si>
    <t>84 (0.4242)</t>
  </si>
  <si>
    <t>15 (0.0758)</t>
  </si>
  <si>
    <t>14 (0.0707)</t>
  </si>
  <si>
    <t>18 (0.2727)</t>
  </si>
  <si>
    <t>38 (0.5758)</t>
  </si>
  <si>
    <t>28 (0.4242)</t>
  </si>
  <si>
    <t xml:space="preserve"> (0.0496) </t>
  </si>
  <si>
    <t>4 (0.0606)</t>
  </si>
  <si>
    <t>16 (0.2424)</t>
  </si>
  <si>
    <t>6 (0.0909)</t>
  </si>
  <si>
    <t>40 (0.6061)</t>
  </si>
  <si>
    <t>10 (0.1515)</t>
  </si>
  <si>
    <t>0 (0)</t>
  </si>
  <si>
    <t>Panel C Industry Affiliation of Networks and Firms [two-digit SIC-code]</t>
  </si>
  <si>
    <t>Agriculture, Forestry, &amp; Fishing [01-09]</t>
  </si>
  <si>
    <t>Mining [10-14]</t>
  </si>
  <si>
    <t>Construction [15-17]</t>
  </si>
  <si>
    <t>Manufacturing: Chemical &amp; Allied Products [28]</t>
  </si>
  <si>
    <t>Manufacturing [20-39, except 28]</t>
  </si>
  <si>
    <t>Transportation &amp; Public Utilities [40-49]</t>
  </si>
  <si>
    <t>Wholesale Trade [50-51]</t>
  </si>
  <si>
    <t>Retail Trade [52-59]</t>
  </si>
  <si>
    <t>Finance, Insurance, &amp; Real Estate [60-67]</t>
  </si>
  <si>
    <t>Services: Business Services [73]</t>
  </si>
  <si>
    <t>Services [70-89, except 73]</t>
  </si>
  <si>
    <t>Nonclassifiable Establishments/Other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</si>
  <si>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</si>
  <si>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</si>
  <si>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</si>
  <si>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</si>
  <si>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</si>
  <si>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</si>
  <si>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</si>
  <si>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</si>
  <si>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</si>
  <si>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</si>
  <si>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</si>
  <si>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</si>
  <si>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sumzz</t>
  </si>
  <si>
    <t>Industry of Networks (Network-Firm Observations)</t>
  </si>
  <si>
    <t>Industry of Firms</t>
  </si>
  <si>
    <t>Panel A Change from pre cash ETR3 [t-2; t0] to cash ETR3 [t1; t3]</t>
  </si>
  <si>
    <t>(SD)</t>
  </si>
  <si>
    <t>pre cash ETR3 [t-2; t0]</t>
  </si>
  <si>
    <t>cash ETR3 [t1; t3]</t>
  </si>
  <si>
    <t>Within-Group Change</t>
  </si>
  <si>
    <t>I to II</t>
  </si>
  <si>
    <t>(p-value)</t>
  </si>
  <si>
    <t>Difference in Within-Group Change</t>
  </si>
  <si>
    <t>Table 2 Descriptive Analysis</t>
  </si>
  <si>
    <t>Panel B Differences in delta cash ETR3</t>
  </si>
  <si>
    <t>'==1</t>
  </si>
  <si>
    <t>'==0</t>
  </si>
  <si>
    <t>difference</t>
  </si>
  <si>
    <t>'- mean delta cash ETR3</t>
  </si>
  <si>
    <t>'- p50 delta cash ETR3</t>
  </si>
  <si>
    <t>Table 2 Descriptive Analysis (continued)</t>
  </si>
  <si>
    <t>Panel A Regression Analysis</t>
  </si>
  <si>
    <t>Dependent Variable</t>
  </si>
  <si>
    <t>Coefficient</t>
  </si>
  <si>
    <t>Network Controls</t>
  </si>
  <si>
    <t>Yes</t>
  </si>
  <si>
    <t>Firm Controls</t>
  </si>
  <si>
    <t>Fixed Effects</t>
  </si>
  <si>
    <t>SE</t>
  </si>
  <si>
    <t>Adjusted R2</t>
  </si>
  <si>
    <t>Industry &amp; Year</t>
  </si>
  <si>
    <t>Cluster @ Firm</t>
  </si>
  <si>
    <t>Table 3 Regression Analysis</t>
  </si>
  <si>
    <t>Panel B Difference in Differences</t>
  </si>
  <si>
    <t>cash ETR</t>
  </si>
  <si>
    <t>Embargo Period</t>
  </si>
  <si>
    <t>Yes [t-2; t5]</t>
  </si>
  <si>
    <t>Entropy Balancing</t>
  </si>
  <si>
    <t>'-</t>
  </si>
  <si>
    <t>Balanced Sample</t>
  </si>
  <si>
    <t>treated</t>
  </si>
  <si>
    <t>treated*post</t>
  </si>
  <si>
    <t>Yes (Annual Measures)</t>
  </si>
  <si>
    <t>Industry &amp; Year &amp; Embargo Period</t>
  </si>
  <si>
    <t>Table 3 Regression Analysis (continued)</t>
  </si>
  <si>
    <t>Panel C Adjustment Speed</t>
  </si>
  <si>
    <t>(#) of Specification</t>
  </si>
  <si>
    <t>Controls</t>
  </si>
  <si>
    <t>Firm Controls &amp; Treated</t>
  </si>
  <si>
    <t>(1) treated*post [t1]</t>
  </si>
  <si>
    <t>(2) treated*post [t1; t2]</t>
  </si>
  <si>
    <t>(3) treated*post [t1; t3]</t>
  </si>
  <si>
    <t>(4) treated*post [t1; t4]</t>
  </si>
  <si>
    <t>(5) treated*post [t1; t5]</t>
  </si>
  <si>
    <t>899; 1076; 1241; 1396; 1529</t>
  </si>
  <si>
    <t>0.0624; 0.0660; 0.0707; 0.0624; 0.0596</t>
  </si>
  <si>
    <t>Textual Sentiment of 10-K Filings &amp; Tax Haven Operations</t>
  </si>
  <si>
    <t>Sentiment</t>
  </si>
  <si>
    <t>Use of Negative Words</t>
  </si>
  <si>
    <t>Use of Tax Haven</t>
  </si>
  <si>
    <t>Number of Tax Haven Subsidiaries</t>
  </si>
  <si>
    <t>Table 4 Additional Analyses: Effects on Reporting of Operations</t>
  </si>
  <si>
    <t>Panel A Distance</t>
  </si>
  <si>
    <t>hightolow*SameBEARegion</t>
  </si>
  <si>
    <t>Partner &amp; Network &amp; Firm</t>
  </si>
  <si>
    <t>Panel B Industry</t>
  </si>
  <si>
    <t>hightolow*SameInd</t>
  </si>
  <si>
    <t>Year</t>
  </si>
  <si>
    <t>Panel C Auditor</t>
  </si>
  <si>
    <t>hightolow*SameAuditor</t>
  </si>
  <si>
    <t>Table 5 Additional Analyses: Partner Characteristics</t>
  </si>
  <si>
    <t>Panel A Exclude Firm-Edge-Years</t>
  </si>
  <si>
    <t>Specification</t>
  </si>
  <si>
    <t>exclude nonsurvivors</t>
  </si>
  <si>
    <t>Panel B Effect on low-tax Firms</t>
  </si>
  <si>
    <t>only low-tax firms</t>
  </si>
  <si>
    <t>Table 5 Robustness Checks: Alternative Explanations</t>
  </si>
  <si>
    <t>Interact Indicator with Continuous Variable</t>
  </si>
  <si>
    <t>high-tax firm</t>
  </si>
  <si>
    <t>partner pre cash ETR3 [t-2; t0]</t>
  </si>
  <si>
    <t>high-tax firm * partner pre cash ETR3 [t-2; t0]</t>
  </si>
  <si>
    <t>No</t>
  </si>
  <si>
    <t>Industry &amp; Network-Industry</t>
  </si>
  <si>
    <t>Table 6 Robustness Checks: Alternative Identification Strategy</t>
  </si>
</sst>
</file>

<file path=xl/styles.xml><?xml version="1.0" encoding="utf-8"?>
<styleSheet xmlns="http://schemas.openxmlformats.org/spreadsheetml/2006/main">
  <numFmts count="4">
    <numFmt numFmtId="166" formatCode="# 0.0000"/>
    <numFmt numFmtId="167" formatCode="# 00.0000"/>
    <numFmt numFmtId="168" formatCode="# (0.0000)"/>
    <numFmt numFmtId="169" formatCode="(0.0000)"/>
  </numFmts>
  <fonts count="8735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6534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/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bottom style="thin"/>
    </border>
    <border>
      <bottom style="thin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/>
    <border>
      <bottom style="thin"/>
    </border>
    <border/>
    <border/>
    <border/>
    <border/>
    <border>
      <bottom style="thin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bottom style="thin"/>
    </border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/>
    <border/>
    <border>
      <bottom style="thin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bottom style="thin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>
      <bottom style="thin"/>
    </border>
    <border>
      <left style="none"/>
      <right style="none"/>
      <top style="none"/>
      <bottom style="thin"/>
      <diagonal style="none"/>
    </border>
    <border/>
    <border>
      <left style="none"/>
      <right style="none"/>
      <top style="none"/>
      <bottom style="none"/>
      <diagonal style="none"/>
    </border>
    <border/>
    <border>
      <bottom style="thin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/>
    <border/>
    <border/>
    <border>
      <bottom style="thin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/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/>
    <border>
      <bottom style="thin"/>
    </border>
    <border/>
    <border>
      <left style="none"/>
      <right style="none"/>
      <top style="none"/>
      <bottom style="none"/>
      <diagonal style="none"/>
    </border>
    <border/>
    <border/>
    <border>
      <bottom style="thin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bottom style="thin"/>
    </border>
    <border/>
    <border/>
    <border/>
    <border/>
    <border/>
    <border/>
    <border>
      <bottom style="thin"/>
    </border>
    <border>
      <left style="none"/>
      <right style="none"/>
      <top style="none"/>
      <bottom style="none"/>
      <diagonal style="none"/>
    </border>
    <border/>
    <border>
      <bottom style="thin"/>
    </border>
    <border/>
    <border>
      <left style="none"/>
      <right style="none"/>
      <top style="none"/>
      <bottom style="none"/>
      <diagonal style="none"/>
    </border>
    <border/>
    <border/>
    <border>
      <bottom style="thin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bottom style="thin"/>
    </border>
    <border/>
    <border/>
    <border/>
    <border/>
    <border/>
    <border/>
    <border>
      <bottom style="thin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/>
    <border>
      <bottom style="thin"/>
    </border>
    <border/>
    <border>
      <left style="none"/>
      <right style="none"/>
      <top style="none"/>
      <bottom style="none"/>
      <diagonal style="none"/>
    </border>
    <border/>
    <border>
      <bottom style="thin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bottom style="thin"/>
    </border>
    <border/>
    <border/>
    <border/>
    <border/>
    <border/>
    <border/>
    <border>
      <bottom style="thin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6534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" xfId="0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3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0" borderId="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0" borderId="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0" borderId="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0" borderId="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0" borderId="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0" borderId="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" fillId="0" borderId="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0" borderId="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5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56" fillId="0" borderId="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57" fillId="0" borderId="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58" fillId="0" borderId="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59" fillId="0" borderId="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60" fillId="0" borderId="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61" fillId="0" borderId="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62" fillId="0" borderId="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63" fillId="0" borderId="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64" fillId="0" borderId="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65" fillId="0" borderId="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66" fillId="0" borderId="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67" fillId="0" borderId="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68" fillId="0" borderId="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69" fillId="0" borderId="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0" fillId="0" borderId="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1" fillId="0" borderId="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2" fillId="0" borderId="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3" fillId="0" borderId="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4" fillId="0" borderId="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5" fillId="0" borderId="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6" fillId="0" borderId="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7" fillId="0" borderId="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8" fillId="0" borderId="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9" fillId="0" borderId="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0" fillId="0" borderId="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1" fillId="0" borderId="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2" fillId="0" borderId="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3" fillId="0" borderId="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4" fillId="0" borderId="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5" fillId="0" borderId="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6" fillId="0" borderId="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7" fillId="0" borderId="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8" fillId="0" borderId="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9" fillId="0" borderId="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0" fillId="0" borderId="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1" fillId="0" borderId="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2" fillId="0" borderId="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3" fillId="0" borderId="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4" fillId="0" borderId="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5" fillId="0" borderId="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6" fillId="0" borderId="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7" fillId="0" borderId="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8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9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0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1" fillId="0" borderId="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2" fillId="0" borderId="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3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4" fillId="0" borderId="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5" fillId="0" borderId="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6" fillId="0" borderId="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7" fillId="0" borderId="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8" fillId="0" borderId="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9" fillId="0" borderId="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0" fillId="0" borderId="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1" fillId="0" borderId="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2" fillId="0" borderId="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3" fillId="0" borderId="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4" fillId="0" borderId="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5" fillId="0" borderId="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6" fillId="0" borderId="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7" fillId="0" borderId="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8" fillId="0" borderId="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9" fillId="0" borderId="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0" fillId="0" borderId="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1" fillId="0" borderId="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2" fillId="0" borderId="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3" fillId="0" borderId="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4" fillId="0" borderId="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5" fillId="0" borderId="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6" fillId="0" borderId="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7" fillId="0" borderId="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8" fillId="0" borderId="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9" fillId="0" borderId="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0" fillId="0" borderId="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1" fillId="0" borderId="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2" fillId="0" borderId="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3" fillId="0" borderId="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4" fillId="0" borderId="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5" fillId="0" borderId="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6" fillId="0" borderId="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7" fillId="0" borderId="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8" fillId="0" borderId="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9" fillId="0" borderId="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0" fillId="0" borderId="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1" fillId="0" borderId="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2" fillId="0" borderId="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3" fillId="0" borderId="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4" fillId="0" borderId="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5" fillId="0" borderId="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6" fillId="0" borderId="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7" fillId="0" borderId="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8" fillId="0" borderId="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9" fillId="0" borderId="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0" fillId="0" borderId="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1" fillId="0" borderId="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2" fillId="0" borderId="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3" fillId="0" borderId="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4" fillId="0" borderId="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5" fillId="0" borderId="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6" fillId="0" borderId="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7" fillId="0" borderId="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8" fillId="0" borderId="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9" fillId="0" borderId="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0" fillId="0" borderId="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1" fillId="0" borderId="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2" fillId="0" borderId="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3" fillId="0" borderId="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4" fillId="0" borderId="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5" fillId="0" borderId="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6" fillId="0" borderId="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7" fillId="0" borderId="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8" fillId="0" borderId="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9" fillId="0" borderId="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70" fillId="0" borderId="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71" fillId="0" borderId="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72" fillId="0" borderId="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73" fillId="0" borderId="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74" fillId="0" borderId="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75" fillId="0" borderId="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76" fillId="0" borderId="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77" fillId="0" borderId="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78" fillId="0" borderId="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0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9" fillId="0" borderId="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1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5" fillId="0" borderId="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7" fillId="0" borderId="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9" fillId="0" borderId="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1" fillId="0" borderId="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3" fillId="0" borderId="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5" fillId="0" borderId="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" fillId="0" borderId="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9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3" fillId="0" borderId="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5" fillId="0" borderId="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7" fillId="0" borderId="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9" fillId="0" borderId="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" fillId="0" borderId="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3" fillId="0" borderId="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5" fillId="0" borderId="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7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" fillId="0" borderId="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3" fillId="0" borderId="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" fillId="0" borderId="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7" fillId="0" borderId="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9" fillId="0" borderId="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1" fillId="0" borderId="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" fillId="0" borderId="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" fillId="0" borderId="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" fillId="0" borderId="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1" fillId="0" borderId="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3" fillId="0" borderId="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5" fillId="0" borderId="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" fillId="0" borderId="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9" fillId="0" borderId="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1" fillId="0" borderId="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3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" fillId="0" borderId="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57" fillId="0" borderId="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59" fillId="0" borderId="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61" fillId="0" borderId="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63" fillId="0" borderId="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65" fillId="0" borderId="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67" fillId="0" borderId="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69" fillId="0" borderId="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" fillId="0" borderId="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75" fillId="0" borderId="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77" fillId="0" borderId="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79" fillId="0" borderId="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81" fillId="0" borderId="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83" fillId="0" borderId="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85" fillId="0" borderId="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87" fillId="0" borderId="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9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" fillId="0" borderId="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93" fillId="0" borderId="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95" fillId="0" borderId="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97" fillId="0" borderId="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99" fillId="0" borderId="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01" fillId="0" borderId="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03" fillId="0" borderId="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05" fillId="0" borderId="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" fillId="0" borderId="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11" fillId="0" borderId="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13" fillId="0" borderId="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15" fillId="0" borderId="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17" fillId="0" borderId="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19" fillId="0" borderId="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21" fillId="0" borderId="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23" fillId="0" borderId="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" fillId="0" borderId="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29" fillId="0" borderId="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31" fillId="0" borderId="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33" fillId="0" borderId="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35" fillId="0" borderId="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37" fillId="0" borderId="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39" fillId="0" borderId="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41" fillId="0" borderId="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3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" fillId="0" borderId="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47" fillId="0" borderId="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49" fillId="0" borderId="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51" fillId="0" borderId="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53" fillId="0" borderId="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55" fillId="0" borderId="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57" fillId="0" borderId="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59" fillId="0" borderId="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1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" fillId="0" borderId="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65" fillId="0" borderId="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67" fillId="0" borderId="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69" fillId="0" borderId="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71" fillId="0" borderId="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73" fillId="0" borderId="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75" fillId="0" borderId="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77" fillId="0" borderId="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9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" fillId="0" borderId="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83" fillId="0" borderId="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85" fillId="0" borderId="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87" fillId="0" borderId="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89" fillId="0" borderId="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91" fillId="0" borderId="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93" fillId="0" borderId="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95" fillId="0" borderId="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7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" fillId="0" borderId="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01" fillId="0" borderId="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03" fillId="0" borderId="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05" fillId="0" borderId="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07" fillId="0" borderId="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09" fillId="0" borderId="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11" fillId="0" borderId="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13" fillId="0" borderId="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5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" fillId="0" borderId="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19" fillId="0" borderId="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21" fillId="0" borderId="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23" fillId="0" borderId="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25" fillId="0" borderId="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27" fillId="0" borderId="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29" fillId="0" borderId="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31" fillId="0" borderId="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3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" fillId="0" borderId="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37" fillId="0" borderId="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39" fillId="0" borderId="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41" fillId="0" borderId="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43" fillId="0" borderId="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45" fillId="0" borderId="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47" fillId="0" borderId="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49" fillId="0" borderId="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1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" fillId="0" borderId="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55" fillId="0" borderId="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57" fillId="0" borderId="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59" fillId="0" borderId="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61" fillId="0" borderId="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63" fillId="0" borderId="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65" fillId="0" borderId="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67" fillId="0" borderId="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" fillId="0" borderId="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73" fillId="0" borderId="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75" fillId="0" borderId="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77" fillId="0" borderId="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79" fillId="0" borderId="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81" fillId="0" borderId="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83" fillId="0" borderId="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85" fillId="0" borderId="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7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" fillId="0" borderId="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91" fillId="0" borderId="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93" fillId="0" borderId="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95" fillId="0" borderId="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97" fillId="0" borderId="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99" fillId="0" borderId="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01" fillId="0" borderId="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03" fillId="0" borderId="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5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" fillId="0" borderId="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09" fillId="0" borderId="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11" fillId="0" borderId="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13" fillId="0" borderId="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15" fillId="0" borderId="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17" fillId="0" borderId="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19" fillId="0" borderId="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21" fillId="0" borderId="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2" fillId="0" borderId="5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23" fillId="0" borderId="5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24" fillId="0" borderId="5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25" fillId="0" borderId="5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26" fillId="0" borderId="5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27" fillId="0" borderId="5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28" fillId="0" borderId="5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29" fillId="0" borderId="5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0" fillId="0" borderId="5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1" fillId="0" borderId="5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2" fillId="0" borderId="5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3" fillId="0" borderId="5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4" fillId="0" borderId="5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5" fillId="0" borderId="5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6" fillId="0" borderId="5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7" fillId="0" borderId="5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8" fillId="0" borderId="5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9" fillId="0" borderId="5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0" fillId="0" borderId="5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1" fillId="0" borderId="5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2" fillId="0" borderId="5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3" fillId="0" borderId="5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4" fillId="0" borderId="5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5" fillId="0" borderId="5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6" fillId="0" borderId="5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7" fillId="0" borderId="5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8" fillId="0" borderId="5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9" fillId="0" borderId="5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0" fillId="0" borderId="5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1" fillId="0" borderId="5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2" fillId="0" borderId="5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3" fillId="0" borderId="5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4" fillId="0" borderId="5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5" fillId="0" borderId="5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6" fillId="0" borderId="5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7" fillId="0" borderId="5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8" fillId="0" borderId="5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9" fillId="0" borderId="5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0" fillId="0" borderId="5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1" fillId="0" borderId="5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2" fillId="0" borderId="5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3" fillId="0" borderId="5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4" fillId="0" borderId="5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5" fillId="0" borderId="5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6" fillId="0" borderId="5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7" fillId="0" borderId="5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8" fillId="0" borderId="5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9" fillId="0" borderId="5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0" fillId="0" borderId="5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1" fillId="0" borderId="5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2" fillId="0" borderId="5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3" fillId="0" borderId="5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4" fillId="0" borderId="5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5" fillId="0" borderId="5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6" fillId="0" borderId="5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7" fillId="0" borderId="5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8" fillId="0" borderId="5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9" fillId="0" borderId="5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0" fillId="0" borderId="5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1" fillId="0" borderId="5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2" fillId="0" borderId="5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3" fillId="0" borderId="5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4" fillId="0" borderId="5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5" fillId="0" borderId="5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86" fillId="0" borderId="5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7" fillId="0" borderId="5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8" fillId="0" borderId="5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9" fillId="0" borderId="5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0" fillId="0" borderId="5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1" fillId="0" borderId="5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2" fillId="0" borderId="5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3" fillId="0" borderId="5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4" fillId="0" borderId="5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95" fillId="0" borderId="5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6" fillId="0" borderId="5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7" fillId="0" borderId="5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8" fillId="0" borderId="5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9" fillId="0" borderId="5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0" fillId="0" borderId="5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1" fillId="0" borderId="5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2" fillId="0" borderId="5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3" fillId="0" borderId="5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04" fillId="0" borderId="5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05" fillId="0" borderId="5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06" fillId="0" borderId="5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07" fillId="0" borderId="5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08" fillId="0" borderId="5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09" fillId="0" borderId="5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10" fillId="0" borderId="5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11" fillId="0" borderId="5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2" fillId="0" borderId="5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13" fillId="0" borderId="5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14" fillId="0" borderId="5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15" fillId="0" borderId="5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16" fillId="0" borderId="6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17" fillId="0" borderId="6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18" fillId="0" borderId="6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19" fillId="0" borderId="6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20" fillId="0" borderId="6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1" fillId="0" borderId="6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22" fillId="0" borderId="6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23" fillId="0" borderId="6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24" fillId="0" borderId="6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25" fillId="0" borderId="6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26" fillId="0" borderId="6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27" fillId="0" borderId="6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28" fillId="0" borderId="6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29" fillId="0" borderId="6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0" fillId="0" borderId="6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31" fillId="0" borderId="6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32" fillId="0" borderId="6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33" fillId="0" borderId="6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34" fillId="0" borderId="6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35" fillId="0" borderId="6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36" fillId="0" borderId="6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37" fillId="0" borderId="6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38" fillId="0" borderId="6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9" fillId="0" borderId="6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40" fillId="0" borderId="6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41" fillId="0" borderId="6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42" fillId="0" borderId="6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43" fillId="0" borderId="6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44" fillId="0" borderId="6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45" fillId="0" borderId="6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46" fillId="0" borderId="6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47" fillId="0" borderId="6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8" fillId="0" borderId="6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49" fillId="0" borderId="6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50" fillId="0" borderId="6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51" fillId="0" borderId="6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52" fillId="0" borderId="6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53" fillId="0" borderId="6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54" fillId="0" borderId="6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55" fillId="0" borderId="6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56" fillId="0" borderId="6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7" fillId="0" borderId="6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58" fillId="0" borderId="6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59" fillId="0" borderId="6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60" fillId="0" borderId="6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61" fillId="0" borderId="6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62" fillId="0" borderId="6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63" fillId="0" borderId="6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64" fillId="0" borderId="6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65" fillId="0" borderId="6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6" fillId="0" borderId="6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67" fillId="0" borderId="6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68" fillId="0" borderId="6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69" fillId="0" borderId="6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70" fillId="0" borderId="6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71" fillId="0" borderId="6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72" fillId="0" borderId="6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73" fillId="0" borderId="6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74" fillId="0" borderId="6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5" fillId="0" borderId="6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76" fillId="0" borderId="6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77" fillId="0" borderId="6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78" fillId="0" borderId="6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79" fillId="0" borderId="6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80" fillId="0" borderId="6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81" fillId="0" borderId="6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82" fillId="0" borderId="6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83" fillId="0" borderId="6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4" fillId="0" borderId="6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85" fillId="0" borderId="6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86" fillId="0" borderId="6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87" fillId="0" borderId="6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88" fillId="0" borderId="6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89" fillId="0" borderId="6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90" fillId="0" borderId="6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91" fillId="0" borderId="6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92" fillId="0" borderId="6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3" fillId="0" borderId="6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94" fillId="0" borderId="6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95" fillId="0" borderId="6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96" fillId="0" borderId="6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97" fillId="0" borderId="6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98" fillId="0" borderId="6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99" fillId="0" borderId="6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00" fillId="0" borderId="6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01" fillId="0" borderId="6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2" fillId="0" borderId="6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03" fillId="0" borderId="6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04" fillId="0" borderId="6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05" fillId="0" borderId="6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06" fillId="0" borderId="6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07" fillId="0" borderId="6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08" fillId="0" borderId="6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09" fillId="0" borderId="6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10" fillId="0" borderId="6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1" fillId="0" borderId="6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12" fillId="0" borderId="6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13" fillId="0" borderId="6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14" fillId="0" borderId="6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15" fillId="0" borderId="6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16" fillId="0" borderId="7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17" fillId="0" borderId="7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18" fillId="0" borderId="7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19" fillId="0" borderId="7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0" fillId="0" borderId="7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21" fillId="0" borderId="7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22" fillId="0" borderId="7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23" fillId="0" borderId="7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24" fillId="0" borderId="7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25" fillId="0" borderId="7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26" fillId="0" borderId="7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27" fillId="0" borderId="7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28" fillId="0" borderId="7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9" fillId="0" borderId="7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30" fillId="0" borderId="7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31" fillId="0" borderId="7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32" fillId="0" borderId="7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33" fillId="0" borderId="7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34" fillId="0" borderId="7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35" fillId="0" borderId="7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36" fillId="0" borderId="7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37" fillId="0" borderId="7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9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3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3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9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4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7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" fillId="0" borderId="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3" fillId="0" borderId="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4" fillId="0" borderId="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5" fillId="0" borderId="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6" fillId="0" borderId="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7" fillId="0" borderId="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8" fillId="0" borderId="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9" fillId="0" borderId="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0" fillId="0" borderId="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1" fillId="0" borderId="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2" fillId="0" borderId="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3" fillId="0" borderId="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4" fillId="0" borderId="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5" fillId="0" borderId="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6" fillId="0" borderId="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7" fillId="0" borderId="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8" fillId="0" borderId="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9" fillId="0" borderId="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0" fillId="0" borderId="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1" fillId="0" borderId="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2" fillId="0" borderId="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3" fillId="0" borderId="8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4" fillId="0" borderId="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5" fillId="0" borderId="8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6" fillId="0" borderId="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7" fillId="0" borderId="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8" fillId="0" borderId="8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9" fillId="0" borderId="8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0" fillId="0" borderId="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1" fillId="0" borderId="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2" fillId="0" borderId="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3" fillId="0" borderId="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4" fillId="0" borderId="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5" fillId="0" borderId="8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6" fillId="0" borderId="8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7" fillId="0" borderId="8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8" fillId="0" borderId="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9" fillId="0" borderId="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0" fillId="0" borderId="8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1" fillId="0" borderId="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2" fillId="0" borderId="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3" fillId="0" borderId="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4" fillId="0" borderId="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5" fillId="0" borderId="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6" fillId="0" borderId="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7" fillId="0" borderId="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8" fillId="0" borderId="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9" fillId="0" borderId="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0" fillId="0" borderId="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1" fillId="0" borderId="8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2" fillId="0" borderId="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3" fillId="0" borderId="8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4" fillId="0" borderId="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5" fillId="0" borderId="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6" fillId="0" borderId="8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7" fillId="0" borderId="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8" fillId="0" borderId="8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9" fillId="0" borderId="8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0" fillId="0" borderId="8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1" fillId="0" borderId="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2" fillId="0" borderId="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3" fillId="0" borderId="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4" fillId="0" borderId="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5" fillId="0" borderId="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6" fillId="0" borderId="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7" fillId="0" borderId="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8" fillId="0" borderId="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9" fillId="0" borderId="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0" fillId="0" borderId="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1" fillId="0" borderId="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2" fillId="0" borderId="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3" fillId="0" borderId="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4" fillId="0" borderId="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6" fillId="0" borderId="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7" fillId="0" borderId="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8" fillId="0" borderId="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9" fillId="0" borderId="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0" fillId="0" borderId="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1" fillId="0" borderId="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2" fillId="0" borderId="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3" fillId="0" borderId="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4" fillId="0" borderId="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5" fillId="0" borderId="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6" fillId="0" borderId="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7" fillId="0" borderId="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8" fillId="0" borderId="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9" fillId="0" borderId="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" fillId="0" borderId="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1" fillId="0" borderId="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2" fillId="0" borderId="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3" fillId="0" borderId="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4" fillId="0" borderId="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5" fillId="0" borderId="8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" fillId="0" borderId="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7" fillId="0" borderId="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8" fillId="0" borderId="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9" fillId="0" borderId="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0" fillId="0" borderId="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1" fillId="0" borderId="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2" fillId="0" borderId="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3" fillId="0" borderId="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4" fillId="0" borderId="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6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6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8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0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2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4" fillId="0" borderId="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" fillId="0" borderId="9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4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" fillId="0" borderId="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" fillId="0" borderId="9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2" fillId="0" borderId="9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4" fillId="0" borderId="9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6" fillId="0" borderId="9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8" fillId="0" borderId="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0" fillId="0" borderId="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2" fillId="0" borderId="9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4" fillId="0" borderId="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6" fillId="0" borderId="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8" fillId="0" borderId="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0" fillId="0" borderId="9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2" fillId="0" borderId="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4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" fillId="0" borderId="9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0" fillId="0" borderId="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2" fillId="0" borderId="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4" fillId="0" borderId="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6" fillId="0" borderId="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8" fillId="0" borderId="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0" fillId="0" borderId="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2" fillId="0" borderId="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4" fillId="0" borderId="9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6" fillId="0" borderId="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8" fillId="0" borderId="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0" fillId="0" borderId="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2" fillId="0" borderId="9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4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" fillId="0" borderId="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8" fillId="0" borderId="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0" fillId="0" borderId="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2" fillId="0" borderId="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4" fillId="0" borderId="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6" fillId="0" borderId="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8" fillId="0" borderId="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0" fillId="0" borderId="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2" fillId="0" borderId="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4" fillId="0" borderId="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6" fillId="0" borderId="9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8" fillId="0" borderId="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0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4" fillId="0" borderId="9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6" fillId="0" borderId="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8" fillId="0" borderId="1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0" fillId="0" borderId="1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2" fillId="0" borderId="1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4" fillId="0" borderId="1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6" fillId="0" borderId="1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8" fillId="0" borderId="1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0" fillId="0" borderId="1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2" fillId="0" borderId="1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4" fillId="0" borderId="1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6" fillId="0" borderId="10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8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0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2" fillId="0" borderId="10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4" fillId="0" borderId="10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6" fillId="0" borderId="10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8" fillId="0" borderId="10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0" fillId="0" borderId="10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2" fillId="0" borderId="10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4" fillId="0" borderId="10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6" fillId="0" borderId="1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8" fillId="0" borderId="1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0" fillId="0" borderId="1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2" fillId="0" borderId="1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4" fillId="0" borderId="1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6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" fillId="0" borderId="10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2" fillId="0" borderId="1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4" fillId="0" borderId="1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6" fillId="0" borderId="1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8" fillId="0" borderId="1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0" fillId="0" borderId="1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2" fillId="0" borderId="1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4" fillId="0" borderId="1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6" fillId="0" borderId="1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8" fillId="0" borderId="1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0" fillId="0" borderId="1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2" fillId="0" borderId="1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4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6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8" fillId="0" borderId="1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0" fillId="0" borderId="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2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4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6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8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0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4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6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8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0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1" fillId="0" borderId="10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2" fillId="0" borderId="10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3" fillId="0" borderId="10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4" fillId="0" borderId="10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5" fillId="0" borderId="10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6" fillId="0" borderId="10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7" fillId="0" borderId="10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8" fillId="0" borderId="10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9" fillId="0" borderId="10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50" fillId="0" borderId="10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51" fillId="0" borderId="10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52" fillId="0" borderId="10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53" fillId="0" borderId="10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54" fillId="0" borderId="10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55" fillId="0" borderId="10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56" fillId="0" borderId="10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57" fillId="0" borderId="10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58" fillId="0" borderId="10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59" fillId="0" borderId="10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60" fillId="0" borderId="10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61" fillId="0" borderId="10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62" fillId="0" borderId="10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63" fillId="0" borderId="10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64" fillId="0" borderId="10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65" fillId="0" borderId="10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66" fillId="0" borderId="10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67" fillId="0" borderId="10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68" fillId="0" borderId="10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69" fillId="0" borderId="10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70" fillId="0" borderId="10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1" fillId="0" borderId="10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2" fillId="0" borderId="10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3" fillId="0" borderId="10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4" fillId="0" borderId="10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5" fillId="0" borderId="10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6" fillId="0" borderId="10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7" fillId="0" borderId="10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8" fillId="0" borderId="10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9" fillId="0" borderId="10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80" fillId="0" borderId="10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81" fillId="0" borderId="10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82" fillId="0" borderId="10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83" fillId="0" borderId="10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84" fillId="0" borderId="10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85" fillId="0" borderId="10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86" fillId="0" borderId="10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87" fillId="0" borderId="10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88" fillId="0" borderId="10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89" fillId="0" borderId="11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90" fillId="0" borderId="11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91" fillId="0" borderId="11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92" fillId="0" borderId="11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93" fillId="0" borderId="11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94" fillId="0" borderId="11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95" fillId="0" borderId="11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96" fillId="0" borderId="11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97" fillId="0" borderId="11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98" fillId="0" borderId="11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99" fillId="0" borderId="11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00" fillId="0" borderId="11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01" fillId="0" borderId="11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02" fillId="0" borderId="11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03" fillId="0" borderId="11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04" fillId="0" borderId="11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05" fillId="0" borderId="11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06" fillId="0" borderId="11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07" fillId="0" borderId="11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08" fillId="0" borderId="11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09" fillId="0" borderId="11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0" fillId="0" borderId="11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1" fillId="0" borderId="11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2" fillId="0" borderId="11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3" fillId="0" borderId="11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14" fillId="0" borderId="11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15" fillId="0" borderId="11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16" fillId="0" borderId="11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17" fillId="0" borderId="11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18" fillId="0" borderId="11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19" fillId="0" borderId="11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0" fillId="0" borderId="11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1" fillId="0" borderId="11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2" fillId="0" borderId="11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3" fillId="0" borderId="11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4" fillId="0" borderId="11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5" fillId="0" borderId="11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26" fillId="0" borderId="11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27" fillId="0" borderId="11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8" fillId="0" borderId="11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9" fillId="0" borderId="11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0" fillId="0" borderId="11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1" fillId="0" borderId="11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2" fillId="0" borderId="11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3" fillId="0" borderId="11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4" fillId="0" borderId="11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5" fillId="0" borderId="11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6" fillId="0" borderId="11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7" fillId="0" borderId="11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8" fillId="0" borderId="11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9" fillId="0" borderId="11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40" fillId="0" borderId="11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41" fillId="0" borderId="11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42" fillId="0" borderId="11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43" fillId="0" borderId="11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44" fillId="0" borderId="11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45" fillId="0" borderId="11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46" fillId="0" borderId="11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47" fillId="0" borderId="11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48" fillId="0" borderId="11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49" fillId="0" borderId="11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50" fillId="0" borderId="11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51" fillId="0" borderId="11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52" fillId="0" borderId="11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53" fillId="0" borderId="11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54" fillId="0" borderId="11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55" fillId="0" borderId="11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56" fillId="0" borderId="11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57" fillId="0" borderId="11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58" fillId="0" borderId="11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59" fillId="0" borderId="11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0" fillId="0" borderId="11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1" fillId="0" borderId="11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2" fillId="0" borderId="11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3" fillId="0" borderId="11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4" fillId="0" borderId="11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5" fillId="0" borderId="11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6" fillId="0" borderId="11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7" fillId="0" borderId="11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68" fillId="0" borderId="11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69" fillId="0" borderId="11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0" fillId="0" borderId="11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1" fillId="0" borderId="11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2" fillId="0" borderId="11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3" fillId="0" borderId="11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4" fillId="0" borderId="11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5" fillId="0" borderId="11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6" fillId="0" borderId="11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7" fillId="0" borderId="11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8" fillId="0" borderId="11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9" fillId="0" borderId="11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80" fillId="0" borderId="11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81" fillId="0" borderId="11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82" fillId="0" borderId="11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83" fillId="0" borderId="11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84" fillId="0" borderId="11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85" fillId="0" borderId="11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86" fillId="0" borderId="11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87" fillId="0" borderId="11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88" fillId="0" borderId="11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89" fillId="0" borderId="12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0" fillId="0" borderId="12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1" fillId="0" borderId="12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2" fillId="0" borderId="12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3" fillId="0" borderId="12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4" fillId="0" borderId="12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5" fillId="0" borderId="12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96" fillId="0" borderId="12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97" fillId="0" borderId="12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8" fillId="0" borderId="12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99" fillId="0" borderId="12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00" fillId="0" borderId="12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01" fillId="0" borderId="12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02" fillId="0" borderId="12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03" fillId="0" borderId="12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04" fillId="0" borderId="12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05" fillId="0" borderId="12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06" fillId="0" borderId="12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07" fillId="0" borderId="12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08" fillId="0" borderId="12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10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2" fillId="0" borderId="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3" fillId="0" borderId="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4" fillId="0" borderId="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5" fillId="0" borderId="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6" fillId="0" borderId="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7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8" fillId="0" borderId="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9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0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1" fillId="0" borderId="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2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3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4" fillId="0" borderId="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5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6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7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8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9" fillId="0" borderId="1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31" fillId="0" borderId="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3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4" fillId="0" borderId="1241" xfId="0" applyNumberFormat="true" applyFont="true" applyBorder="true" applyAlignment="true" applyProtection="true">
      <alignment horizontal="general" vertical="bottom" textRotation="90" wrapText="false" indent="0" shrinkToFit="false"/>
      <protection locked="true" hidden="false"/>
    </xf>
    <xf numFmtId="0" fontId="1635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9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1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3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4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5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7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9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1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2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3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5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7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8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9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0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1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2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3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4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5" fillId="0" borderId="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6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7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8" fillId="0" borderId="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9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0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1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2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3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4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5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6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7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8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9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0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1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2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3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4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5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6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7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8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9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0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1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2" fillId="0" borderId="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3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4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5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6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7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" fillId="0" borderId="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9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1" fillId="0" borderId="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3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" fillId="0" borderId="1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5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" fillId="0" borderId="1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9" fillId="0" borderId="1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0" fillId="0" borderId="1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1" fillId="0" borderId="1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2" fillId="0" borderId="1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3" fillId="0" borderId="1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4" fillId="0" borderId="1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5" fillId="0" borderId="1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6" fillId="0" borderId="1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7" fillId="0" borderId="1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8" fillId="0" borderId="1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9" fillId="0" borderId="1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0" fillId="0" borderId="1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1" fillId="0" borderId="1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2" fillId="0" borderId="1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3" fillId="0" borderId="1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4" fillId="0" borderId="1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5" fillId="0" borderId="1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6" fillId="0" borderId="1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7" fillId="0" borderId="1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8" fillId="0" borderId="1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9" fillId="0" borderId="1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0" fillId="0" borderId="1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1" fillId="0" borderId="1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2" fillId="0" borderId="1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3" fillId="0" borderId="1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4" fillId="0" borderId="1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5" fillId="0" borderId="1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6" fillId="0" borderId="1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7" fillId="0" borderId="1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8" fillId="0" borderId="1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9" fillId="0" borderId="1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0" fillId="0" borderId="1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1" fillId="0" borderId="1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2" fillId="0" borderId="1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3" fillId="0" borderId="1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4" fillId="0" borderId="1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5" fillId="0" borderId="1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6" fillId="0" borderId="1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7" fillId="0" borderId="1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8" fillId="0" borderId="1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9" fillId="0" borderId="1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0" fillId="0" borderId="1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1" fillId="0" borderId="1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2" fillId="0" borderId="1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3" fillId="0" borderId="1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4" fillId="0" borderId="1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5" fillId="0" borderId="1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6" fillId="0" borderId="1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7" fillId="0" borderId="1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8" fillId="0" borderId="1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9" fillId="0" borderId="1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0" fillId="0" borderId="1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1" fillId="0" borderId="1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2" fillId="0" borderId="1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3" fillId="0" borderId="1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4" fillId="0" borderId="1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5" fillId="0" borderId="1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6" fillId="0" borderId="1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7" fillId="0" borderId="1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8" fillId="0" borderId="1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9" fillId="0" borderId="1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0" fillId="0" borderId="1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1" fillId="0" borderId="1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2" fillId="0" borderId="1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3" fillId="0" borderId="1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4" fillId="0" borderId="1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5" fillId="0" borderId="1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6" fillId="0" borderId="1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7" fillId="0" borderId="1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8" fillId="0" borderId="1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9" fillId="0" borderId="1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0" fillId="0" borderId="1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1" fillId="0" borderId="1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2" fillId="0" borderId="1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3" fillId="0" borderId="1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4" fillId="0" borderId="1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5" fillId="0" borderId="1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6" fillId="0" borderId="1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7" fillId="0" borderId="1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8" fillId="0" borderId="1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9" fillId="0" borderId="1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0" fillId="0" borderId="1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1" fillId="0" borderId="1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2" fillId="0" borderId="1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3" fillId="0" borderId="1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4" fillId="0" borderId="1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5" fillId="0" borderId="1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6" fillId="0" borderId="1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7" fillId="0" borderId="1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8" fillId="0" borderId="1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9" fillId="0" borderId="1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0" fillId="0" borderId="1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1" fillId="0" borderId="1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2" fillId="0" borderId="1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3" fillId="0" borderId="1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4" fillId="0" borderId="1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5" fillId="0" borderId="1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6" fillId="0" borderId="1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7" fillId="0" borderId="1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8" fillId="0" borderId="1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9" fillId="0" borderId="1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0" fillId="0" borderId="1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1" fillId="0" borderId="1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2" fillId="0" borderId="1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3" fillId="0" borderId="1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4" fillId="0" borderId="1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5" fillId="0" borderId="1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6" fillId="0" borderId="1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7" fillId="0" borderId="1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8" fillId="0" borderId="1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9" fillId="0" borderId="1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0" fillId="0" borderId="1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1" fillId="0" borderId="1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2" fillId="0" borderId="1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3" fillId="0" borderId="1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4" fillId="0" borderId="1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5" fillId="0" borderId="1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6" fillId="0" borderId="1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7" fillId="0" borderId="1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8" fillId="0" borderId="1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9" fillId="0" borderId="1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0" fillId="0" borderId="1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1" fillId="0" borderId="1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2" fillId="0" borderId="1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3" fillId="0" borderId="1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4" fillId="0" borderId="1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5" fillId="0" borderId="1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6" fillId="0" borderId="1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7" fillId="0" borderId="1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8" fillId="0" borderId="1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9" fillId="0" borderId="1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0" fillId="0" borderId="1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1" fillId="0" borderId="1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2" fillId="0" borderId="1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3" fillId="0" borderId="1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4" fillId="0" borderId="1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5" fillId="0" borderId="1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6" fillId="0" borderId="1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7" fillId="0" borderId="1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8" fillId="0" borderId="1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9" fillId="0" borderId="1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0" fillId="0" borderId="1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1" fillId="0" borderId="1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2" fillId="0" borderId="1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3" fillId="0" borderId="1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4" fillId="0" borderId="1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5" fillId="0" borderId="1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6" fillId="0" borderId="1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7" fillId="0" borderId="1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8" fillId="0" borderId="1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9" fillId="0" borderId="1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0" fillId="0" borderId="1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1" fillId="0" borderId="1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2" fillId="0" borderId="1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3" fillId="0" borderId="1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4" fillId="0" borderId="1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5" fillId="0" borderId="1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6" fillId="0" borderId="1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7" fillId="0" borderId="1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8" fillId="0" borderId="1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9" fillId="0" borderId="1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0" fillId="0" borderId="1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1" fillId="0" borderId="1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2" fillId="0" borderId="1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3" fillId="0" borderId="1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4" fillId="0" borderId="1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5" fillId="0" borderId="1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6" fillId="0" borderId="1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7" fillId="0" borderId="1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8" fillId="0" borderId="1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9" fillId="0" borderId="1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0" fillId="0" borderId="1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1" fillId="0" borderId="1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2" fillId="0" borderId="1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3" fillId="0" borderId="1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4" fillId="0" borderId="1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5" fillId="0" borderId="1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6" fillId="0" borderId="1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7" fillId="0" borderId="1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8" fillId="0" borderId="1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9" fillId="0" borderId="1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0" fillId="0" borderId="1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2" fillId="0" borderId="1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3" fillId="0" borderId="1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4" fillId="0" borderId="1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5" fillId="0" borderId="1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6" fillId="0" borderId="1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7" fillId="0" borderId="1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8" fillId="0" borderId="1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9" fillId="0" borderId="1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0" fillId="0" borderId="1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1" fillId="0" borderId="1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2" fillId="0" borderId="1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3" fillId="0" borderId="1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4" fillId="0" borderId="1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5" fillId="0" borderId="1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6" fillId="0" borderId="1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7" fillId="0" borderId="1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8" fillId="0" borderId="1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9" fillId="0" borderId="1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0" fillId="0" borderId="1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1" fillId="0" borderId="1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2" fillId="0" borderId="1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3" fillId="0" borderId="1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4" fillId="0" borderId="1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5" fillId="0" borderId="1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6" fillId="0" borderId="1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7" fillId="0" borderId="1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8" fillId="0" borderId="1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9" fillId="0" borderId="1525" xfId="0" applyNumberFormat="true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0" fontId="1920" fillId="0" borderId="1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2" fillId="0" borderId="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4" fillId="0" borderId="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6" fillId="0" borderId="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8" fillId="0" borderId="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0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2" fillId="0" borderId="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4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6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8" fillId="0" borderId="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0" fillId="0" borderId="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2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4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6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8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0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2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4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6" fillId="0" borderId="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8" fillId="0" borderId="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0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2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4" fillId="0" borderId="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6" fillId="0" borderId="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8" fillId="0" borderId="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0" fillId="0" borderId="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2" fillId="0" borderId="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4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6" fillId="0" borderId="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8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0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2" fillId="0" borderId="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4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6" fillId="0" borderId="1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88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0" fillId="0" borderId="1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2" fillId="0" borderId="1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4" fillId="0" borderId="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6" fillId="0" borderId="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8" fillId="0" borderId="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0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2" fillId="0" borderId="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4" fillId="0" borderId="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6" fillId="0" borderId="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8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0" fillId="0" borderId="1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2" fillId="0" borderId="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4" fillId="0" borderId="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6" fillId="0" borderId="1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8" fillId="0" borderId="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0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2" fillId="0" borderId="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4" fillId="0" borderId="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6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8" fillId="0" borderId="1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0" fillId="0" borderId="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2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4" fillId="0" borderId="1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6" fillId="0" borderId="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8" fillId="0" borderId="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0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2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4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6" fillId="0" borderId="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8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0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2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4" fillId="0" borderId="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6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8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0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2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4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6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8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0" fillId="0" borderId="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2" fillId="0" borderId="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4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6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8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0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2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4" fillId="0" borderId="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6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8" fillId="0" borderId="1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0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2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4" fillId="0" borderId="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6" fillId="0" borderId="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8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0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2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4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6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8" fillId="0" borderId="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0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2" fillId="0" borderId="1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14" fillId="0" borderId="1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6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8" fillId="0" borderId="1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0" fillId="0" borderId="1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2" fillId="0" borderId="1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4" fillId="0" borderId="1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6" fillId="0" borderId="1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8" fillId="0" borderId="1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0" fillId="0" borderId="1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2" fillId="0" borderId="1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4" fillId="0" borderId="1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6" fillId="0" borderId="1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8" fillId="0" borderId="1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0" fillId="0" borderId="1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2" fillId="0" borderId="1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4" fillId="0" borderId="1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6" fillId="0" borderId="1639" xfId="0" applyNumberFormat="true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0" fontId="2148" fillId="0" borderId="1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0" fillId="0" borderId="1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2" fillId="0" borderId="16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4" fillId="0" borderId="1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6" fillId="0" borderId="1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8" fillId="0" borderId="1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0" fillId="0" borderId="1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2" fillId="0" borderId="1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4" fillId="0" borderId="1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6" fillId="0" borderId="1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8" fillId="0" borderId="1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0" fillId="0" borderId="1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2" fillId="0" borderId="1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4" fillId="0" borderId="1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6" fillId="0" borderId="1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8" fillId="0" borderId="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0" fillId="0" borderId="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2" fillId="0" borderId="1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4" fillId="0" borderId="1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6" fillId="0" borderId="1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8" fillId="0" borderId="1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0" fillId="0" borderId="1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2" fillId="0" borderId="1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4" fillId="0" borderId="1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6" fillId="0" borderId="1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8" fillId="0" borderId="1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0" fillId="0" borderId="1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2" fillId="0" borderId="1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4" fillId="0" borderId="1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6" fillId="0" borderId="1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8" fillId="0" borderId="1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0" fillId="0" borderId="1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2" fillId="0" borderId="1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4" fillId="0" borderId="1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6" fillId="0" borderId="1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8" fillId="0" borderId="16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20" fillId="0" borderId="1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22" fillId="0" borderId="1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24" fillId="0" borderId="1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26" fillId="0" borderId="1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28" fillId="0" borderId="1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30" fillId="0" borderId="1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32" fillId="0" borderId="1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34" fillId="0" borderId="1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36" fillId="0" borderId="1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38" fillId="0" borderId="1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40" fillId="0" borderId="1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42" fillId="0" borderId="1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4" fillId="0" borderId="1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6" fillId="0" borderId="1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48" fillId="0" borderId="1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50" fillId="0" borderId="1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52" fillId="0" borderId="1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54" fillId="0" borderId="1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56" fillId="0" borderId="1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58" fillId="0" borderId="1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60" fillId="0" borderId="1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62" fillId="0" borderId="1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64" fillId="0" borderId="1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66" fillId="0" borderId="1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68" fillId="0" borderId="1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70" fillId="0" borderId="1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72" fillId="0" borderId="1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74" fillId="0" borderId="1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6" fillId="0" borderId="1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8" fillId="0" borderId="1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80" fillId="0" borderId="1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82" fillId="0" borderId="1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84" fillId="0" borderId="1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86" fillId="0" borderId="1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88" fillId="0" borderId="1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90" fillId="0" borderId="1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92" fillId="0" borderId="1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94" fillId="0" borderId="1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96" fillId="0" borderId="1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98" fillId="0" borderId="1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00" fillId="0" borderId="1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02" fillId="0" borderId="1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04" fillId="0" borderId="1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06" fillId="0" borderId="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8" fillId="0" borderId="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0" fillId="0" borderId="1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2" fillId="0" borderId="1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4" fillId="0" borderId="1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6" fillId="0" borderId="1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8" fillId="0" borderId="17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0" fillId="0" borderId="17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2" fillId="0" borderId="17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4" fillId="0" borderId="1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6" fillId="0" borderId="1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8" fillId="0" borderId="1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0" fillId="0" borderId="17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2" fillId="0" borderId="17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4" fillId="0" borderId="1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6" fillId="0" borderId="1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8" fillId="0" borderId="1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0" fillId="0" borderId="1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2" fillId="0" borderId="1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4" fillId="0" borderId="17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6" fillId="0" borderId="17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8" fillId="0" borderId="1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0" fillId="0" borderId="1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2" fillId="0" borderId="1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4" fillId="0" borderId="1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6" fillId="0" borderId="1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8" fillId="0" borderId="1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60" fillId="0" borderId="1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62" fillId="0" borderId="1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64" fillId="0" borderId="1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66" fillId="0" borderId="1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68" fillId="0" borderId="1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70" fillId="0" borderId="1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2" fillId="0" borderId="1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4" fillId="0" borderId="1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76" fillId="0" borderId="1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78" fillId="0" borderId="1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80" fillId="0" borderId="1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82" fillId="0" borderId="1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84" fillId="0" borderId="1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86" fillId="0" borderId="1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88" fillId="0" borderId="1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90" fillId="0" borderId="1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92" fillId="0" borderId="1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94" fillId="0" borderId="1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96" fillId="0" borderId="1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98" fillId="0" borderId="1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00" fillId="0" borderId="1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02" fillId="0" borderId="1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4" fillId="0" borderId="1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6" fillId="0" borderId="1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08" fillId="0" borderId="1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10" fillId="0" borderId="1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12" fillId="0" borderId="1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14" fillId="0" borderId="1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16" fillId="0" borderId="1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18" fillId="0" borderId="1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20" fillId="0" borderId="1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22" fillId="0" borderId="1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24" fillId="0" borderId="1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26" fillId="0" borderId="1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28" fillId="0" borderId="1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30" fillId="0" borderId="1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32" fillId="0" borderId="1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34" fillId="0" borderId="1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6" fillId="0" borderId="1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8" fillId="0" borderId="1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40" fillId="0" borderId="1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42" fillId="0" borderId="1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44" fillId="0" borderId="1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46" fillId="0" borderId="1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48" fillId="0" borderId="1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0" fillId="0" borderId="1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2" fillId="0" borderId="1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4" fillId="0" borderId="1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6" fillId="0" borderId="1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8" fillId="0" borderId="1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60" fillId="0" borderId="1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62" fillId="0" borderId="1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64" fillId="0" borderId="1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66" fillId="0" borderId="1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8" fillId="0" borderId="1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0" fillId="0" borderId="1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72" fillId="0" borderId="1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74" fillId="0" borderId="18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76" fillId="0" borderId="1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78" fillId="0" borderId="18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80" fillId="0" borderId="1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82" fillId="0" borderId="1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84" fillId="0" borderId="18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86" fillId="0" borderId="18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88" fillId="0" borderId="1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90" fillId="0" borderId="1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92" fillId="0" borderId="1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94" fillId="0" borderId="1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96" fillId="0" borderId="1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98" fillId="0" borderId="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0" fillId="0" borderId="1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2" fillId="0" borderId="18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4" fillId="0" borderId="1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6" fillId="0" borderId="1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8" fillId="0" borderId="18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0" fillId="0" borderId="1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2" fillId="0" borderId="1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4" fillId="0" borderId="1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6" fillId="0" borderId="1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8" fillId="0" borderId="1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0" fillId="0" borderId="1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2" fillId="0" borderId="1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4" fillId="0" borderId="1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6" fillId="0" borderId="1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8" fillId="0" borderId="1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0" fillId="0" borderId="1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2" fillId="0" borderId="1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4" fillId="0" borderId="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6" fillId="0" borderId="1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8" fillId="0" borderId="1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0" fillId="0" borderId="18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2" fillId="0" borderId="1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4" fillId="0" borderId="18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6" fillId="0" borderId="18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8" fillId="0" borderId="18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0" fillId="0" borderId="1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2" fillId="0" borderId="1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4" fillId="0" borderId="1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6" fillId="0" borderId="1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8" fillId="0" borderId="1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0" fillId="0" borderId="1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2" fillId="0" borderId="1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4" fillId="0" borderId="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6" fillId="0" borderId="1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8" fillId="0" borderId="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0" fillId="0" borderId="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2" fillId="0" borderId="1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4" fillId="0" borderId="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6" fillId="0" borderId="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8" fillId="0" borderId="1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0" fillId="0" borderId="1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2" fillId="0" borderId="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4" fillId="0" borderId="1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6" fillId="0" borderId="1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8" fillId="0" borderId="1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0" fillId="0" borderId="1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2" fillId="0" borderId="1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4" fillId="0" borderId="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6" fillId="0" borderId="1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8" fillId="0" borderId="1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0" fillId="0" borderId="1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2" fillId="0" borderId="1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4" fillId="0" borderId="1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6" fillId="0" borderId="1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8" fillId="0" borderId="1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0" fillId="0" borderId="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2" fillId="0" borderId="1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4" fillId="0" borderId="1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6" fillId="0" borderId="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8" fillId="0" borderId="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0" fillId="0" borderId="1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2" fillId="0" borderId="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4" fillId="0" borderId="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5" fillId="0" borderId="18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26" fillId="0" borderId="18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27" fillId="0" borderId="18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28" fillId="0" borderId="18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29" fillId="0" borderId="18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30" fillId="0" borderId="18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31" fillId="0" borderId="18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32" fillId="0" borderId="18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33" fillId="0" borderId="18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34" fillId="0" borderId="18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35" fillId="0" borderId="18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36" fillId="0" borderId="18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37" fillId="0" borderId="18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38" fillId="0" borderId="18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39" fillId="0" borderId="18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40" fillId="0" borderId="18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41" fillId="0" borderId="18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42" fillId="0" borderId="18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43" fillId="0" borderId="18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44" fillId="0" borderId="18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45" fillId="0" borderId="18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46" fillId="0" borderId="19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47" fillId="0" borderId="19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48" fillId="0" borderId="19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49" fillId="0" borderId="19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50" fillId="0" borderId="19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51" fillId="0" borderId="19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52" fillId="0" borderId="19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53" fillId="0" borderId="19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54" fillId="0" borderId="19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55" fillId="0" borderId="19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56" fillId="0" borderId="19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57" fillId="0" borderId="19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58" fillId="0" borderId="19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59" fillId="0" borderId="19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60" fillId="0" borderId="19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61" fillId="0" borderId="19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62" fillId="0" borderId="19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63" fillId="0" borderId="19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64" fillId="0" borderId="19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65" fillId="0" borderId="19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66" fillId="0" borderId="19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67" fillId="0" borderId="19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68" fillId="0" borderId="19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69" fillId="0" borderId="19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70" fillId="0" borderId="19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71" fillId="0" borderId="19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72" fillId="0" borderId="19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73" fillId="0" borderId="19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74" fillId="0" borderId="19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75" fillId="0" borderId="19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76" fillId="0" borderId="19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77" fillId="0" borderId="19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78" fillId="0" borderId="19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79" fillId="0" borderId="19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80" fillId="0" borderId="19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81" fillId="0" borderId="19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82" fillId="0" borderId="19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83" fillId="0" borderId="19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84" fillId="0" borderId="19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85" fillId="0" borderId="19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86" fillId="0" borderId="19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87" fillId="0" borderId="19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88" fillId="0" borderId="19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89" fillId="0" borderId="19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90" fillId="0" borderId="19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91" fillId="0" borderId="19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92" fillId="0" borderId="19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93" fillId="0" borderId="19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94" fillId="0" borderId="19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95" fillId="0" borderId="19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96" fillId="0" borderId="19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97" fillId="0" borderId="19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98" fillId="0" borderId="19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99" fillId="0" borderId="19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00" fillId="0" borderId="19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01" fillId="0" borderId="19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02" fillId="0" borderId="19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03" fillId="0" borderId="19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04" fillId="0" borderId="19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05" fillId="0" borderId="19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06" fillId="0" borderId="19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07" fillId="0" borderId="19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08" fillId="0" borderId="19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09" fillId="0" borderId="19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10" fillId="0" borderId="19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11" fillId="0" borderId="19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12" fillId="0" borderId="19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13" fillId="0" borderId="19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14" fillId="0" borderId="19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15" fillId="0" borderId="19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16" fillId="0" borderId="19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17" fillId="0" borderId="19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18" fillId="0" borderId="19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19" fillId="0" borderId="19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20" fillId="0" borderId="19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21" fillId="0" borderId="19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22" fillId="0" borderId="19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23" fillId="0" borderId="19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24" fillId="0" borderId="19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25" fillId="0" borderId="19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26" fillId="0" borderId="19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27" fillId="0" borderId="19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28" fillId="0" borderId="19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29" fillId="0" borderId="19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30" fillId="0" borderId="19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31" fillId="0" borderId="19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32" fillId="0" borderId="19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33" fillId="0" borderId="19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34" fillId="0" borderId="19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35" fillId="0" borderId="19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36" fillId="0" borderId="19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37" fillId="0" borderId="1991" xfId="0" applyNumberFormat="true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0" fontId="2738" fillId="0" borderId="19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39" fillId="0" borderId="19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40" fillId="0" borderId="19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41" fillId="0" borderId="19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42" fillId="0" borderId="19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43" fillId="0" borderId="19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44" fillId="0" borderId="19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45" fillId="0" borderId="19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46" fillId="0" borderId="20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47" fillId="0" borderId="20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48" fillId="0" borderId="20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49" fillId="0" borderId="20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50" fillId="0" borderId="20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51" fillId="0" borderId="20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52" fillId="0" borderId="20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53" fillId="0" borderId="20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54" fillId="0" borderId="20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55" fillId="0" borderId="20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56" fillId="0" borderId="20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57" fillId="0" borderId="20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58" fillId="0" borderId="20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59" fillId="0" borderId="20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60" fillId="0" borderId="20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61" fillId="0" borderId="20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62" fillId="0" borderId="20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63" fillId="0" borderId="20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64" fillId="0" borderId="20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65" fillId="0" borderId="20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66" fillId="0" borderId="20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67" fillId="0" borderId="20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68" fillId="0" borderId="20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69" fillId="0" borderId="20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70" fillId="0" borderId="20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71" fillId="0" borderId="20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72" fillId="0" borderId="20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73" fillId="0" borderId="20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74" fillId="0" borderId="20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75" fillId="0" borderId="20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76" fillId="0" borderId="20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77" fillId="0" borderId="20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78" fillId="0" borderId="20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79" fillId="0" borderId="20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80" fillId="0" borderId="20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81" fillId="0" borderId="20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82" fillId="0" borderId="20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83" fillId="0" borderId="20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84" fillId="0" borderId="20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85" fillId="0" borderId="20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86" fillId="0" borderId="20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87" fillId="0" borderId="20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88" fillId="0" borderId="20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89" fillId="0" borderId="20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0" fillId="0" borderId="20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1" fillId="0" borderId="20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2" fillId="0" borderId="20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3" fillId="0" borderId="20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4" fillId="0" borderId="20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5" fillId="0" borderId="20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6" fillId="0" borderId="20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7" fillId="0" borderId="20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8" fillId="0" borderId="20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9" fillId="0" borderId="20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0" fillId="0" borderId="20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1" fillId="0" borderId="20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02" fillId="0" borderId="20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03" fillId="0" borderId="20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4" fillId="0" borderId="20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5" fillId="0" borderId="20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6" fillId="0" borderId="20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7" fillId="0" borderId="20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8" fillId="0" borderId="20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9" fillId="0" borderId="20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10" fillId="0" borderId="20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11" fillId="0" borderId="20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12" fillId="0" borderId="20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13" fillId="0" borderId="20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14" fillId="0" borderId="20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15" fillId="0" borderId="20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16" fillId="0" borderId="20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17" fillId="0" borderId="20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18" fillId="0" borderId="20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19" fillId="0" borderId="20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0" fillId="0" borderId="20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1" fillId="0" borderId="20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2" fillId="0" borderId="20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3" fillId="0" borderId="20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4" fillId="0" borderId="20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5" fillId="0" borderId="20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6" fillId="0" borderId="20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7" fillId="0" borderId="20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8" fillId="0" borderId="20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9" fillId="0" borderId="20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0" fillId="0" borderId="20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1" fillId="0" borderId="20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2" fillId="0" borderId="20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3" fillId="0" borderId="20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34" fillId="0" borderId="20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35" fillId="0" borderId="20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6" fillId="0" borderId="20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7" fillId="0" borderId="20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8" fillId="0" borderId="20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9" fillId="0" borderId="20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40" fillId="0" borderId="20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41" fillId="0" borderId="20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42" fillId="0" borderId="20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43" fillId="0" borderId="20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44" fillId="0" borderId="20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45" fillId="0" borderId="20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46" fillId="0" borderId="21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47" fillId="0" borderId="21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48" fillId="0" borderId="21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49" fillId="0" borderId="21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50" fillId="0" borderId="21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51" fillId="0" borderId="21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2" fillId="0" borderId="21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3" fillId="0" borderId="21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4" fillId="0" borderId="21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5" fillId="0" borderId="21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6" fillId="0" borderId="21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7" fillId="0" borderId="21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8" fillId="0" borderId="21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9" fillId="0" borderId="21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60" fillId="0" borderId="21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61" fillId="0" borderId="21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62" fillId="0" borderId="21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63" fillId="0" borderId="21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64" fillId="0" borderId="21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65" fillId="0" borderId="21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66" fillId="0" borderId="21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67" fillId="0" borderId="21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68" fillId="0" borderId="21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69" fillId="0" borderId="21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70" fillId="0" borderId="21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71" fillId="0" borderId="21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72" fillId="0" borderId="21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73" fillId="0" borderId="21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74" fillId="0" borderId="21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75" fillId="0" borderId="21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76" fillId="0" borderId="21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77" fillId="0" borderId="21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78" fillId="0" borderId="21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79" fillId="0" borderId="21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80" fillId="0" borderId="21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81" fillId="0" borderId="21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82" fillId="0" borderId="21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83" fillId="0" borderId="21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84" fillId="0" borderId="21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85" fillId="0" borderId="21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86" fillId="0" borderId="21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87" fillId="0" borderId="21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88" fillId="0" borderId="21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89" fillId="0" borderId="21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90" fillId="0" borderId="21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91" fillId="0" borderId="21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92" fillId="0" borderId="21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93" fillId="0" borderId="21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94" fillId="0" borderId="21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95" fillId="0" borderId="21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96" fillId="0" borderId="21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97" fillId="0" borderId="21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98" fillId="0" borderId="21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99" fillId="0" borderId="21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00" fillId="0" borderId="21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01" fillId="0" borderId="21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02" fillId="0" borderId="21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03" fillId="0" borderId="21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04" fillId="0" borderId="21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05" fillId="0" borderId="21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06" fillId="0" borderId="21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07" fillId="0" borderId="21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08" fillId="0" borderId="21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09" fillId="0" borderId="21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10" fillId="0" borderId="21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11" fillId="0" borderId="21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12" fillId="0" borderId="21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13" fillId="0" borderId="21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14" fillId="0" borderId="21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15" fillId="0" borderId="21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16" fillId="0" borderId="21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17" fillId="0" borderId="21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18" fillId="0" borderId="21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19" fillId="0" borderId="21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20" fillId="0" borderId="21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21" fillId="0" borderId="21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22" fillId="0" borderId="21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23" fillId="0" borderId="21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24" fillId="0" borderId="21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25" fillId="0" borderId="21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26" fillId="0" borderId="21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27" fillId="0" borderId="21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28" fillId="0" borderId="21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29" fillId="0" borderId="21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30" fillId="0" borderId="21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31" fillId="0" borderId="21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32" fillId="0" borderId="21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33" fillId="0" borderId="21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34" fillId="0" borderId="21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35" fillId="0" borderId="21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36" fillId="0" borderId="21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37" fillId="0" borderId="21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38" fillId="0" borderId="21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39" fillId="0" borderId="21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40" fillId="0" borderId="21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41" fillId="0" borderId="21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42" fillId="0" borderId="21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43" fillId="0" borderId="21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44" fillId="0" borderId="21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45" fillId="0" borderId="21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46" fillId="0" borderId="22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47" fillId="0" borderId="22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48" fillId="0" borderId="22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49" fillId="0" borderId="22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50" fillId="0" borderId="22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51" fillId="0" borderId="22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52" fillId="0" borderId="22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53" fillId="0" borderId="22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54" fillId="0" borderId="22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55" fillId="0" borderId="22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56" fillId="0" borderId="22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57" fillId="0" borderId="22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58" fillId="0" borderId="22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59" fillId="0" borderId="22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60" fillId="0" borderId="22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61" fillId="0" borderId="22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62" fillId="0" borderId="22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63" fillId="0" borderId="22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64" fillId="0" borderId="22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65" fillId="0" borderId="22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66" fillId="0" borderId="22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67" fillId="0" borderId="22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68" fillId="0" borderId="22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69" fillId="0" borderId="22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70" fillId="0" borderId="22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71" fillId="0" borderId="22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72" fillId="0" borderId="22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73" fillId="0" borderId="22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74" fillId="0" borderId="22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75" fillId="0" borderId="22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76" fillId="0" borderId="22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0" fillId="0" borderId="2231" xfId="0"/>
    <xf numFmtId="0" fontId="0" fillId="0" borderId="2232" xfId="0" applyBorder="true"/>
    <xf numFmtId="0" fontId="0" fillId="0" borderId="2233" xfId="0" applyBorder="true"/>
    <xf numFmtId="0" fontId="2977" fillId="0" borderId="2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8" fillId="0" borderId="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9" fillId="0" borderId="2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0" fillId="0" borderId="2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1" fillId="0" borderId="2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2" fillId="0" borderId="2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3" fillId="0" borderId="2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4" fillId="0" borderId="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5" fillId="0" borderId="2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6" fillId="0" borderId="2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7" fillId="0" borderId="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8" fillId="0" borderId="2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9" fillId="0" borderId="2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247" xfId="0"/>
    <xf numFmtId="0" fontId="2990" fillId="0" borderId="2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1" fillId="0" borderId="2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250" xfId="0"/>
    <xf numFmtId="0" fontId="2992" fillId="0" borderId="2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252" xfId="0"/>
    <xf numFmtId="0" fontId="0" fillId="0" borderId="2253" xfId="0"/>
    <xf numFmtId="0" fontId="2993" fillId="0" borderId="2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255" xfId="0"/>
    <xf numFmtId="0" fontId="2994" fillId="0" borderId="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5" fillId="0" borderId="2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6" fillId="0" borderId="2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7" fillId="0" borderId="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8" fillId="0" borderId="2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9" fillId="0" borderId="2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0" fillId="0" borderId="2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1" fillId="0" borderId="2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02" fillId="0" borderId="2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03" fillId="0" borderId="2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04" fillId="0" borderId="2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05" fillId="0" borderId="2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06" fillId="0" borderId="2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07" fillId="0" borderId="2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08" fillId="0" borderId="2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09" fillId="0" borderId="2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10" fillId="0" borderId="2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11" fillId="0" borderId="2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12" fillId="0" borderId="2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013" fillId="0" borderId="2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4" fillId="0" borderId="2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5" fillId="0" borderId="2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016" fillId="0" borderId="2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017" fillId="0" borderId="2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18" fillId="0" borderId="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19" fillId="0" borderId="2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020" fillId="0" borderId="2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021" fillId="0" borderId="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2" fillId="0" borderId="2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3" fillId="0" borderId="2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024" fillId="0" borderId="2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025" fillId="0" borderId="2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26" fillId="0" borderId="2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27" fillId="0" borderId="2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028" fillId="0" borderId="2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029" fillId="0" borderId="2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0" fillId="0" borderId="2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31" fillId="0" borderId="2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2" fillId="0" borderId="2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3" fillId="0" borderId="22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34" fillId="0" borderId="22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3035" fillId="0" borderId="2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36" fillId="0" borderId="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37" fillId="0" borderId="2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38" fillId="0" borderId="2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039" fillId="0" borderId="2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040" fillId="0" borderId="2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041" fillId="0" borderId="2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2" fillId="0" borderId="2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3" fillId="0" borderId="23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3044" fillId="0" borderId="2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45" fillId="0" borderId="2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46" fillId="0" borderId="2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47" fillId="0" borderId="2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48" fillId="0" borderId="2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49" fillId="0" borderId="2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50" fillId="0" borderId="2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51" fillId="0" borderId="2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52" fillId="0" borderId="2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53" fillId="0" borderId="2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54" fillId="0" borderId="2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55" fillId="0" borderId="2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56" fillId="0" borderId="2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58" fillId="0" borderId="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0" fillId="0" borderId="2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2" fillId="0" borderId="2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4" fillId="0" borderId="2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66" fillId="0" borderId="2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67" fillId="0" borderId="2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69" fillId="0" borderId="2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1" fillId="0" borderId="2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3" fillId="0" borderId="2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5" fillId="0" borderId="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7" fillId="0" borderId="2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9" fillId="0" borderId="2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1" fillId="0" borderId="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3" fillId="0" borderId="2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5" fillId="0" borderId="2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7" fillId="0" borderId="2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9" fillId="0" borderId="2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1" fillId="0" borderId="2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3" fillId="0" borderId="2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95" fillId="0" borderId="2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7" fillId="0" borderId="2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9" fillId="0" borderId="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1" fillId="0" borderId="2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3" fillId="0" borderId="2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5" fillId="0" borderId="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7" fillId="0" borderId="2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9" fillId="0" borderId="2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1" fillId="0" borderId="2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3" fillId="0" borderId="2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5" fillId="0" borderId="2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7" fillId="0" borderId="2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9" fillId="0" borderId="2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1" fillId="0" borderId="2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3" fillId="0" borderId="2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5" fillId="0" borderId="2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7" fillId="0" borderId="2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9" fillId="0" borderId="2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1" fillId="0" borderId="2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33" fillId="0" borderId="2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35" fillId="0" borderId="2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37" fillId="0" borderId="2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39" fillId="0" borderId="2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41" fillId="0" borderId="2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3" fillId="0" borderId="2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45" fillId="0" borderId="2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47" fillId="0" borderId="2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49" fillId="0" borderId="2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51" fillId="0" borderId="2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53" fillId="0" borderId="2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5" fillId="0" borderId="2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57" fillId="0" borderId="2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59" fillId="0" borderId="2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61" fillId="0" borderId="2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63" fillId="0" borderId="2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65" fillId="0" borderId="2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7" fillId="0" borderId="2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169" fillId="0" borderId="2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171" fillId="0" borderId="2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173" fillId="0" borderId="2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175" fillId="0" borderId="2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7" fillId="0" borderId="2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9" fillId="0" borderId="2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181" fillId="0" borderId="2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183" fillId="0" borderId="2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185" fillId="0" borderId="2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187" fillId="0" borderId="2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9" fillId="0" borderId="2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1" fillId="0" borderId="2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3" fillId="0" borderId="2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5" fillId="0" borderId="2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7" fillId="0" borderId="2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9" fillId="0" borderId="2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1" fillId="0" borderId="2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3" fillId="0" borderId="2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205" fillId="0" borderId="2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7" fillId="0" borderId="23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09" fillId="0" borderId="2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1" fillId="0" borderId="23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13" fillId="0" borderId="2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5" fillId="0" borderId="2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217" fillId="0" borderId="2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219" fillId="0" borderId="2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221" fillId="0" borderId="2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23" fillId="0" borderId="2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5" fillId="0" borderId="2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7" fillId="0" borderId="2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29" fillId="0" borderId="2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1" fillId="0" borderId="2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3" fillId="0" borderId="2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5" fillId="0" borderId="2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7" fillId="0" borderId="2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9" fillId="0" borderId="2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241" fillId="0" borderId="2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3" fillId="0" borderId="2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5" fillId="0" borderId="24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47" fillId="0" borderId="2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9" fillId="0" borderId="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1" fillId="0" borderId="2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253" fillId="0" borderId="2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55" fillId="0" borderId="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7" fillId="0" borderId="2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9" fillId="0" borderId="2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0" fillId="0" borderId="24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61" fillId="0" borderId="24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62" fillId="0" borderId="24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63" fillId="0" borderId="24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64" fillId="0" borderId="24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65" fillId="0" borderId="24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66" fillId="0" borderId="24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67" fillId="0" borderId="24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68" fillId="0" borderId="24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69" fillId="0" borderId="24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70" fillId="0" borderId="24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71" fillId="0" borderId="24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72" fillId="0" borderId="24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73" fillId="0" borderId="24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74" fillId="0" borderId="24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75" fillId="0" borderId="24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76" fillId="0" borderId="24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77" fillId="0" borderId="24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78" fillId="0" borderId="24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79" fillId="0" borderId="24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80" fillId="0" borderId="24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81" fillId="0" borderId="24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82" fillId="0" borderId="24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83" fillId="0" borderId="24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84" fillId="0" borderId="24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85" fillId="0" borderId="24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86" fillId="0" borderId="24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87" fillId="0" borderId="24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88" fillId="0" borderId="24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89" fillId="0" borderId="24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90" fillId="0" borderId="24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91" fillId="0" borderId="24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92" fillId="0" borderId="24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93" fillId="0" borderId="24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94" fillId="0" borderId="24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95" fillId="0" borderId="24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96" fillId="0" borderId="24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97" fillId="0" borderId="24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98" fillId="0" borderId="24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99" fillId="0" borderId="24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00" fillId="0" borderId="24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01" fillId="0" borderId="24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02" fillId="0" borderId="24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03" fillId="0" borderId="24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04" fillId="0" borderId="24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05" fillId="0" borderId="24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06" fillId="0" borderId="24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07" fillId="0" borderId="24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08" fillId="0" borderId="24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09" fillId="0" borderId="24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10" fillId="0" borderId="24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311" fillId="0" borderId="24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12" fillId="0" borderId="24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313" fillId="0" borderId="24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14" fillId="0" borderId="24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15" fillId="0" borderId="24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16" fillId="0" borderId="24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317" fillId="0" borderId="24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18" fillId="0" borderId="24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319" fillId="0" borderId="24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20" fillId="0" borderId="24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21" fillId="0" borderId="24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22" fillId="0" borderId="24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23" fillId="0" borderId="24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24" fillId="0" borderId="24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25" fillId="0" borderId="24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26" fillId="0" borderId="24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27" fillId="0" borderId="24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28" fillId="0" borderId="248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329" fillId="0" borderId="249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330" fillId="0" borderId="249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331" fillId="0" borderId="249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332" fillId="0" borderId="24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33" fillId="0" borderId="24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334" fillId="0" borderId="24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335" fillId="0" borderId="24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336" fillId="0" borderId="24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37" fillId="0" borderId="24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38" fillId="0" borderId="24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39" fillId="0" borderId="25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40" fillId="0" borderId="25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41" fillId="0" borderId="25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42" fillId="0" borderId="25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43" fillId="0" borderId="25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44" fillId="0" borderId="25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45" fillId="0" borderId="25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46" fillId="0" borderId="250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347" fillId="0" borderId="25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48" fillId="0" borderId="250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349" fillId="0" borderId="25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50" fillId="0" borderId="25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51" fillId="0" borderId="25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352" fillId="0" borderId="25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53" fillId="0" borderId="25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54" fillId="0" borderId="25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55" fillId="0" borderId="25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56" fillId="0" borderId="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7" fillId="0" borderId="2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8" fillId="0" borderId="2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9" fillId="0" borderId="2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0" fillId="0" borderId="2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1" fillId="0" borderId="2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2" fillId="0" borderId="2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3" fillId="0" borderId="2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4" fillId="0" borderId="2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5" fillId="0" borderId="2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6" fillId="0" borderId="2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7" fillId="0" borderId="2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8" fillId="0" borderId="2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9" fillId="0" borderId="2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0" fillId="0" borderId="2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1" fillId="0" borderId="2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2" fillId="0" borderId="2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3" fillId="0" borderId="2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4" fillId="0" borderId="2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5" fillId="0" borderId="2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6" fillId="0" borderId="2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7" fillId="0" borderId="2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8" fillId="0" borderId="2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0" fillId="0" borderId="2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2" fillId="0" borderId="2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3" fillId="0" borderId="2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4" fillId="0" borderId="2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5" fillId="0" borderId="2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6" fillId="0" borderId="2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7" fillId="0" borderId="2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388" fillId="0" borderId="2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9" fillId="0" borderId="2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0" fillId="0" borderId="2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1" fillId="0" borderId="2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2" fillId="0" borderId="2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393" fillId="0" borderId="2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394" fillId="0" borderId="2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395" fillId="0" borderId="2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396" fillId="0" borderId="2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7" fillId="0" borderId="2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8" fillId="0" borderId="2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99" fillId="0" borderId="2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400" fillId="0" borderId="2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01" fillId="0" borderId="2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02" fillId="0" borderId="2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03" fillId="0" borderId="2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5" fillId="0" borderId="2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7" fillId="0" borderId="2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9" fillId="0" borderId="2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1" fillId="0" borderId="2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3" fillId="0" borderId="2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5" fillId="0" borderId="2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7" fillId="0" borderId="2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9" fillId="0" borderId="2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1" fillId="0" borderId="2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3" fillId="0" borderId="2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5" fillId="0" borderId="2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7" fillId="0" borderId="2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9" fillId="0" borderId="2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31" fillId="0" borderId="2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3" fillId="0" borderId="2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5" fillId="0" borderId="2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7" fillId="0" borderId="2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9" fillId="0" borderId="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1" fillId="0" borderId="2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3" fillId="0" borderId="2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5" fillId="0" borderId="2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7" fillId="0" borderId="2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9" fillId="0" borderId="2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1" fillId="0" borderId="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3" fillId="0" borderId="2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5" fillId="0" borderId="2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7" fillId="0" borderId="2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9" fillId="0" borderId="2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1" fillId="0" borderId="2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3" fillId="0" borderId="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5" fillId="0" borderId="2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7" fillId="0" borderId="2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69" fillId="0" borderId="2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71" fillId="0" borderId="2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73" fillId="0" borderId="2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75" fillId="0" borderId="2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77" fillId="0" borderId="2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9" fillId="0" borderId="2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481" fillId="0" borderId="2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483" fillId="0" borderId="2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5" fillId="0" borderId="2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87" fillId="0" borderId="2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89" fillId="0" borderId="2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1" fillId="0" borderId="2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493" fillId="0" borderId="2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495" fillId="0" borderId="2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7" fillId="0" borderId="2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99" fillId="0" borderId="2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00" fillId="0" borderId="26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01" fillId="0" borderId="26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02" fillId="0" borderId="26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03" fillId="0" borderId="26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04" fillId="0" borderId="26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05" fillId="0" borderId="26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06" fillId="0" borderId="26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07" fillId="0" borderId="26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08" fillId="0" borderId="26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09" fillId="0" borderId="26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10" fillId="0" borderId="26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11" fillId="0" borderId="26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12" fillId="0" borderId="26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13" fillId="0" borderId="26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14" fillId="0" borderId="26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15" fillId="0" borderId="26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16" fillId="0" borderId="26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17" fillId="0" borderId="26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18" fillId="0" borderId="26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19" fillId="0" borderId="26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20" fillId="0" borderId="26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21" fillId="0" borderId="26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22" fillId="0" borderId="26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23" fillId="0" borderId="26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24" fillId="0" borderId="26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25" fillId="0" borderId="26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26" fillId="0" borderId="26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27" fillId="0" borderId="26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28" fillId="0" borderId="26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29" fillId="0" borderId="26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30" fillId="0" borderId="26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31" fillId="0" borderId="26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32" fillId="0" borderId="26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33" fillId="0" borderId="26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34" fillId="0" borderId="26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35" fillId="0" borderId="26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36" fillId="0" borderId="26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3537" fillId="0" borderId="26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538" fillId="0" borderId="26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539" fillId="0" borderId="265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540" fillId="0" borderId="26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541" fillId="0" borderId="26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42" fillId="0" borderId="26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3543" fillId="0" borderId="26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544" fillId="0" borderId="26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545" fillId="0" borderId="265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546" fillId="0" borderId="26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547" fillId="0" borderId="26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49" fillId="0" borderId="2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660" xfId="0"/>
    <xf numFmtId="0" fontId="0" fillId="0" borderId="2661" xfId="0" applyBorder="true"/>
    <xf numFmtId="0" fontId="0" fillId="0" borderId="2662" xfId="0"/>
    <xf numFmtId="0" fontId="0" fillId="0" borderId="2663" xfId="0"/>
    <xf numFmtId="0" fontId="0" fillId="0" borderId="2664" xfId="0"/>
    <xf numFmtId="0" fontId="0" fillId="0" borderId="2665" xfId="0"/>
    <xf numFmtId="0" fontId="0" fillId="0" borderId="2666" xfId="0" applyBorder="true"/>
    <xf numFmtId="0" fontId="3550" fillId="0" borderId="2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1" fillId="0" borderId="2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2" fillId="0" borderId="2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670" xfId="0" applyBorder="true"/>
    <xf numFmtId="0" fontId="0" fillId="0" borderId="2671" xfId="0"/>
    <xf numFmtId="0" fontId="0" fillId="0" borderId="2672" xfId="0"/>
    <xf numFmtId="0" fontId="0" fillId="0" borderId="2673" xfId="0"/>
    <xf numFmtId="0" fontId="0" fillId="0" borderId="2674" xfId="0"/>
    <xf numFmtId="0" fontId="0" fillId="0" borderId="2675" xfId="0"/>
    <xf numFmtId="0" fontId="0" fillId="0" borderId="2676" xfId="0"/>
    <xf numFmtId="0" fontId="0" fillId="0" borderId="2677" xfId="0"/>
    <xf numFmtId="0" fontId="0" fillId="0" borderId="2678" xfId="0"/>
    <xf numFmtId="0" fontId="0" fillId="0" borderId="2679" xfId="0"/>
    <xf numFmtId="0" fontId="0" fillId="0" borderId="2680" xfId="0"/>
    <xf numFmtId="0" fontId="3553" fillId="0" borderId="2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4" fillId="0" borderId="2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5" fillId="0" borderId="2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684" xfId="0"/>
    <xf numFmtId="0" fontId="0" fillId="0" borderId="2685" xfId="0"/>
    <xf numFmtId="0" fontId="0" fillId="0" borderId="2686" xfId="0" applyBorder="true"/>
    <xf numFmtId="0" fontId="0" fillId="0" borderId="2687" xfId="0"/>
    <xf numFmtId="0" fontId="3557" fillId="0" borderId="2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8" fillId="0" borderId="2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9" fillId="0" borderId="2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60" fillId="0" borderId="2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61" fillId="0" borderId="2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62" fillId="0" borderId="2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63" fillId="0" borderId="2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64" fillId="0" borderId="2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65" fillId="0" borderId="2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66" fillId="0" borderId="2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67" fillId="0" borderId="2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68" fillId="0" borderId="2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69" fillId="0" borderId="2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0" fillId="0" borderId="2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1" fillId="0" borderId="2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2" fillId="0" borderId="2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3" fillId="0" borderId="2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4" fillId="0" borderId="2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5" fillId="0" borderId="2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6" fillId="0" borderId="2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7" fillId="0" borderId="2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8" fillId="0" borderId="2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9" fillId="0" borderId="2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0" fillId="0" borderId="2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1" fillId="0" borderId="2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2" fillId="0" borderId="2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3" fillId="0" borderId="2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4" fillId="0" borderId="2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5" fillId="0" borderId="2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6" fillId="0" borderId="2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7" fillId="0" borderId="2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8" fillId="0" borderId="2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9" fillId="0" borderId="2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0" fillId="0" borderId="2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1" fillId="0" borderId="2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2" fillId="0" borderId="2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3" fillId="0" borderId="2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4" fillId="0" borderId="27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5" fillId="0" borderId="27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6" fillId="0" borderId="27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7" fillId="0" borderId="2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8" fillId="0" borderId="2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9" fillId="0" borderId="2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0" fillId="0" borderId="27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1" fillId="0" borderId="27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2" fillId="0" borderId="2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3" fillId="0" borderId="2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4" fillId="0" borderId="2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5" fillId="0" borderId="2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6" fillId="0" borderId="2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7" fillId="0" borderId="27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608" fillId="0" borderId="2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9" fillId="0" borderId="2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0" fillId="0" borderId="2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1" fillId="0" borderId="2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2" fillId="0" borderId="2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3" fillId="0" borderId="2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4" fillId="0" borderId="2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5" fillId="0" borderId="2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6" fillId="0" borderId="2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7" fillId="0" borderId="2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8" fillId="0" borderId="2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9" fillId="0" borderId="2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0" fillId="0" borderId="2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21" fillId="0" borderId="2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22" fillId="0" borderId="2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23" fillId="0" borderId="2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24" fillId="0" borderId="2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5" fillId="0" borderId="2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626" fillId="0" borderId="2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7" fillId="0" borderId="2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628" fillId="0" borderId="2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29" fillId="0" borderId="2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30" fillId="0" borderId="2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31" fillId="0" borderId="2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32" fillId="0" borderId="2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633" fillId="0" borderId="2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634" fillId="0" borderId="2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635" fillId="0" borderId="2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636" fillId="0" borderId="2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37" fillId="0" borderId="2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38" fillId="0" borderId="2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39" fillId="0" borderId="2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40" fillId="0" borderId="2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641" fillId="0" borderId="2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642" fillId="0" borderId="2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643" fillId="0" borderId="2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45" fillId="0" borderId="2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7" fillId="0" borderId="2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9" fillId="0" borderId="2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51" fillId="0" borderId="2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53" fillId="0" borderId="2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5" fillId="0" borderId="2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7" fillId="0" borderId="2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59" fillId="0" borderId="2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61" fillId="0" borderId="2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3" fillId="0" borderId="2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5" fillId="0" borderId="2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67" fillId="0" borderId="2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69" fillId="0" borderId="2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1" fillId="0" borderId="2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3" fillId="0" borderId="2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75" fillId="0" borderId="2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77" fillId="0" borderId="2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9" fillId="0" borderId="2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81" fillId="0" borderId="2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83" fillId="0" borderId="2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85" fillId="0" borderId="2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87" fillId="0" borderId="2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89" fillId="0" borderId="2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91" fillId="0" borderId="2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93" fillId="0" borderId="2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5" fillId="0" borderId="2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7" fillId="0" borderId="2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9" fillId="0" borderId="2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1" fillId="0" borderId="2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3" fillId="0" borderId="2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5" fillId="0" borderId="2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7" fillId="0" borderId="2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9" fillId="0" borderId="2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1" fillId="0" borderId="2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3" fillId="0" borderId="2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5" fillId="0" borderId="2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7" fillId="0" borderId="2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9" fillId="0" borderId="2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1" fillId="0" borderId="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3" fillId="0" borderId="2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5" fillId="0" borderId="28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27" fillId="0" borderId="2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9" fillId="0" borderId="2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1" fillId="0" borderId="2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3" fillId="0" borderId="2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5" fillId="0" borderId="2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7" fillId="0" borderId="2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9" fillId="0" borderId="2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1" fillId="0" borderId="2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3" fillId="0" borderId="2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5" fillId="0" borderId="2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7" fillId="0" borderId="2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9" fillId="0" borderId="2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1" fillId="0" borderId="2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3" fillId="0" borderId="2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5" fillId="0" borderId="2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7" fillId="0" borderId="2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9" fillId="0" borderId="2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1" fillId="0" borderId="2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3" fillId="0" borderId="2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5" fillId="0" borderId="2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7" fillId="0" borderId="2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9" fillId="0" borderId="2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1" fillId="0" borderId="2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3" fillId="0" borderId="2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5" fillId="0" borderId="28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7" fillId="0" borderId="2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9" fillId="0" borderId="2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1" fillId="0" borderId="2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3" fillId="0" borderId="2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5" fillId="0" borderId="2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7" fillId="0" borderId="2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9" fillId="0" borderId="2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1" fillId="0" borderId="2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3" fillId="0" borderId="2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5" fillId="0" borderId="2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7" fillId="0" borderId="2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9" fillId="0" borderId="2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1" fillId="0" borderId="2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3" fillId="0" borderId="2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5" fillId="0" borderId="2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7" fillId="0" borderId="2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9" fillId="0" borderId="2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11" fillId="0" borderId="2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13" fillId="0" borderId="2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5" fillId="0" borderId="2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7" fillId="0" borderId="2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19" fillId="0" borderId="2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21" fillId="0" borderId="2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3" fillId="0" borderId="2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5" fillId="0" borderId="2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27" fillId="0" borderId="2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29" fillId="0" borderId="2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1" fillId="0" borderId="2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3" fillId="0" borderId="2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35" fillId="0" borderId="2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37" fillId="0" borderId="2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9" fillId="0" borderId="2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1" fillId="0" borderId="2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43" fillId="0" borderId="28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45" fillId="0" borderId="2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7" fillId="0" borderId="2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9" fillId="0" borderId="2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51" fillId="0" borderId="2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53" fillId="0" borderId="2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5" fillId="0" borderId="2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7" fillId="0" borderId="2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59" fillId="0" borderId="2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61" fillId="0" borderId="2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3" fillId="0" borderId="2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5" fillId="0" borderId="2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67" fillId="0" borderId="2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69" fillId="0" borderId="2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1" fillId="0" borderId="2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73" fillId="0" borderId="2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75" fillId="0" borderId="2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77" fillId="0" borderId="2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79" fillId="0" borderId="2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81" fillId="0" borderId="2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83" fillId="0" borderId="28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85" fillId="0" borderId="2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7" fillId="0" borderId="2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89" fillId="0" borderId="2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91" fillId="0" borderId="2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93" fillId="0" borderId="28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95" fillId="0" borderId="29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97" fillId="0" borderId="29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99" fillId="0" borderId="29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01" fillId="0" borderId="2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3" fillId="0" borderId="29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05" fillId="0" borderId="29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07" fillId="0" borderId="29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09" fillId="0" borderId="29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11" fillId="0" borderId="29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13" fillId="0" borderId="29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15" fillId="0" borderId="29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17" fillId="0" borderId="2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9" fillId="0" borderId="29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21" fillId="0" borderId="29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23" fillId="0" borderId="29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25" fillId="0" borderId="2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27" fillId="0" borderId="29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29" fillId="0" borderId="2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31" fillId="0" borderId="2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33" fillId="0" borderId="2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5" fillId="0" borderId="29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37" fillId="0" borderId="2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39" fillId="0" borderId="29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41" fillId="0" borderId="2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43" fillId="0" borderId="29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45" fillId="0" borderId="29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47" fillId="0" borderId="29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49" fillId="0" borderId="2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1" fillId="0" borderId="2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53" fillId="0" borderId="2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5" fillId="0" borderId="2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7" fillId="0" borderId="2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9" fillId="0" borderId="2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1" fillId="0" borderId="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3" fillId="0" borderId="2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4" fillId="0" borderId="29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65" fillId="0" borderId="29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66" fillId="0" borderId="29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67" fillId="0" borderId="29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68" fillId="0" borderId="29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69" fillId="0" borderId="29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70" fillId="0" borderId="29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71" fillId="0" borderId="29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72" fillId="0" borderId="29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73" fillId="0" borderId="29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74" fillId="0" borderId="29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75" fillId="0" borderId="29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76" fillId="0" borderId="29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77" fillId="0" borderId="29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78" fillId="0" borderId="29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79" fillId="0" borderId="29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80" fillId="0" borderId="29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81" fillId="0" borderId="29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82" fillId="0" borderId="29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83" fillId="0" borderId="29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84" fillId="0" borderId="29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85" fillId="0" borderId="29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86" fillId="0" borderId="29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87" fillId="0" borderId="29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88" fillId="0" borderId="29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89" fillId="0" borderId="29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90" fillId="0" borderId="29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91" fillId="0" borderId="29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92" fillId="0" borderId="29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93" fillId="0" borderId="29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94" fillId="0" borderId="29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95" fillId="0" borderId="29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96" fillId="0" borderId="29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97" fillId="0" borderId="29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98" fillId="0" borderId="29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99" fillId="0" borderId="29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00" fillId="0" borderId="29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01" fillId="0" borderId="29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02" fillId="0" borderId="29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03" fillId="0" borderId="29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04" fillId="0" borderId="29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05" fillId="0" borderId="29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06" fillId="0" borderId="29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07" fillId="0" borderId="29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08" fillId="0" borderId="29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09" fillId="0" borderId="29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10" fillId="0" borderId="29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11" fillId="0" borderId="29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12" fillId="0" borderId="29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13" fillId="0" borderId="29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14" fillId="0" borderId="29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15" fillId="0" borderId="29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16" fillId="0" borderId="29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17" fillId="0" borderId="29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18" fillId="0" borderId="29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19" fillId="0" borderId="29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20" fillId="0" borderId="29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021" fillId="0" borderId="299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022" fillId="0" borderId="29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023" fillId="0" borderId="29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24" fillId="0" borderId="29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025" fillId="0" borderId="299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026" fillId="0" borderId="29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027" fillId="0" borderId="29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28" fillId="0" borderId="29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029" fillId="0" borderId="300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030" fillId="0" borderId="30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031" fillId="0" borderId="30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32" fillId="0" borderId="30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033" fillId="0" borderId="300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034" fillId="0" borderId="30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035" fillId="0" borderId="30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36" fillId="0" borderId="30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037" fillId="0" borderId="300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038" fillId="0" borderId="30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039" fillId="0" borderId="30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40" fillId="0" borderId="30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041" fillId="0" borderId="301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042" fillId="0" borderId="30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043" fillId="0" borderId="30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44" fillId="0" borderId="30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045" fillId="0" borderId="301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046" fillId="0" borderId="30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047" fillId="0" borderId="30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48" fillId="0" borderId="30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049" fillId="0" borderId="302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050" fillId="0" borderId="30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051" fillId="0" borderId="30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52" fillId="0" borderId="30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53" fillId="0" borderId="30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54" fillId="0" borderId="30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55" fillId="0" borderId="30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56" fillId="0" borderId="30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57" fillId="0" borderId="30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58" fillId="0" borderId="30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59" fillId="0" borderId="30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60" fillId="0" borderId="30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61" fillId="0" borderId="30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62" fillId="0" borderId="30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63" fillId="0" borderId="30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64" fillId="0" borderId="30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65" fillId="0" borderId="30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66" fillId="0" borderId="30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67" fillId="0" borderId="30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68" fillId="0" borderId="30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69" fillId="0" borderId="30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70" fillId="0" borderId="30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71" fillId="0" borderId="30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72" fillId="0" borderId="30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73" fillId="0" borderId="30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74" fillId="0" borderId="30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75" fillId="0" borderId="30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76" fillId="0" borderId="30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77" fillId="0" borderId="30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78" fillId="0" borderId="30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79" fillId="0" borderId="30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80" fillId="0" borderId="30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81" fillId="0" borderId="30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82" fillId="0" borderId="30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83" fillId="0" borderId="30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84" fillId="0" borderId="30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85" fillId="0" borderId="30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86" fillId="0" borderId="30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87" fillId="0" borderId="30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88" fillId="0" borderId="30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89" fillId="0" borderId="30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90" fillId="0" borderId="30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91" fillId="0" borderId="30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92" fillId="0" borderId="30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093" fillId="0" borderId="30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94" fillId="0" borderId="30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95" fillId="0" borderId="30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96" fillId="0" borderId="30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097" fillId="0" borderId="30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98" fillId="0" borderId="30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99" fillId="0" borderId="30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00" fillId="0" borderId="3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1" fillId="0" borderId="3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2" fillId="0" borderId="3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3" fillId="0" borderId="3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4" fillId="0" borderId="3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5" fillId="0" borderId="3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6" fillId="0" borderId="3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7" fillId="0" borderId="3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9" fillId="0" borderId="3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080" xfId="0"/>
    <xf numFmtId="0" fontId="4110" fillId="0" borderId="30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1" fillId="0" borderId="30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2" fillId="0" borderId="30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3" fillId="0" borderId="30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4" fillId="0" borderId="3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5" fillId="0" borderId="3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087" xfId="0" applyBorder="true"/>
    <xf numFmtId="0" fontId="4116" fillId="0" borderId="3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7" fillId="0" borderId="3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8" fillId="0" borderId="3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9" fillId="0" borderId="3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0" fillId="0" borderId="3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1" fillId="0" borderId="3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2" fillId="0" borderId="3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3" fillId="0" borderId="3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4" fillId="0" borderId="3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5" fillId="0" borderId="3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098" xfId="0"/>
    <xf numFmtId="0" fontId="0" fillId="0" borderId="3099" xfId="0"/>
    <xf numFmtId="0" fontId="0" fillId="0" borderId="3100" xfId="0"/>
    <xf numFmtId="0" fontId="0" fillId="0" borderId="3101" xfId="0"/>
    <xf numFmtId="0" fontId="0" fillId="0" borderId="3102" xfId="0"/>
    <xf numFmtId="0" fontId="0" fillId="0" borderId="3103" xfId="0"/>
    <xf numFmtId="0" fontId="0" fillId="0" borderId="3104" xfId="0"/>
    <xf numFmtId="0" fontId="0" fillId="0" borderId="3105" xfId="0"/>
    <xf numFmtId="0" fontId="4126" fillId="0" borderId="3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7" fillId="0" borderId="3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108" xfId="0"/>
    <xf numFmtId="0" fontId="0" fillId="0" borderId="3109" xfId="0"/>
    <xf numFmtId="0" fontId="4128" fillId="0" borderId="3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9" fillId="0" borderId="3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0" fillId="0" borderId="3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1" fillId="0" borderId="3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2" fillId="0" borderId="3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3" fillId="0" borderId="3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4" fillId="0" borderId="3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5" fillId="0" borderId="3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118" xfId="0"/>
    <xf numFmtId="0" fontId="4137" fillId="0" borderId="3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8" fillId="0" borderId="3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39" fillId="0" borderId="3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0" fillId="0" borderId="3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1" fillId="0" borderId="3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2" fillId="0" borderId="3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3" fillId="0" borderId="3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4" fillId="0" borderId="3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5" fillId="0" borderId="3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6" fillId="0" borderId="3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7" fillId="0" borderId="3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8" fillId="0" borderId="3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9" fillId="0" borderId="3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50" fillId="0" borderId="3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51" fillId="0" borderId="3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52" fillId="0" borderId="3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53" fillId="0" borderId="3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54" fillId="0" borderId="3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55" fillId="0" borderId="3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56" fillId="0" borderId="3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57" fillId="0" borderId="3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58" fillId="0" borderId="3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59" fillId="0" borderId="3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60" fillId="0" borderId="3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61" fillId="0" borderId="3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62" fillId="0" borderId="3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63" fillId="0" borderId="3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64" fillId="0" borderId="3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65" fillId="0" borderId="3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66" fillId="0" borderId="3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67" fillId="0" borderId="3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68" fillId="0" borderId="3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69" fillId="0" borderId="3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70" fillId="0" borderId="3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71" fillId="0" borderId="3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72" fillId="0" borderId="3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73" fillId="0" borderId="3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74" fillId="0" borderId="3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75" fillId="0" borderId="3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76" fillId="0" borderId="3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77" fillId="0" borderId="3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78" fillId="0" borderId="3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79" fillId="0" borderId="3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80" fillId="0" borderId="3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181" fillId="0" borderId="3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2" fillId="0" borderId="3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3" fillId="0" borderId="3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4" fillId="0" borderId="3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5" fillId="0" borderId="3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6" fillId="0" borderId="3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7" fillId="0" borderId="3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8" fillId="0" borderId="3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9" fillId="0" borderId="3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0" fillId="0" borderId="3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1" fillId="0" borderId="3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2" fillId="0" borderId="3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3" fillId="0" borderId="3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94" fillId="0" borderId="3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95" fillId="0" borderId="3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96" fillId="0" borderId="3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97" fillId="0" borderId="3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8" fillId="0" borderId="3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199" fillId="0" borderId="3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0" fillId="0" borderId="3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201" fillId="0" borderId="3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02" fillId="0" borderId="3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03" fillId="0" borderId="3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04" fillId="0" borderId="3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05" fillId="0" borderId="3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206" fillId="0" borderId="3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207" fillId="0" borderId="3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208" fillId="0" borderId="3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209" fillId="0" borderId="3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10" fillId="0" borderId="3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11" fillId="0" borderId="3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12" fillId="0" borderId="3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13" fillId="0" borderId="3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214" fillId="0" borderId="3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215" fillId="0" borderId="3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216" fillId="0" borderId="3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8" fillId="0" borderId="3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0" fillId="0" borderId="3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2" fillId="0" borderId="3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24" fillId="0" borderId="3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6" fillId="0" borderId="3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8" fillId="0" borderId="3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0" fillId="0" borderId="3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32" fillId="0" borderId="3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34" fillId="0" borderId="3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6" fillId="0" borderId="3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8" fillId="0" borderId="3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40" fillId="0" borderId="3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2" fillId="0" borderId="3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4" fillId="0" borderId="3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6" fillId="0" borderId="3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48" fillId="0" borderId="3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0" fillId="0" borderId="3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2" fillId="0" borderId="3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4" fillId="0" borderId="3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6" fillId="0" borderId="3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8" fillId="0" borderId="3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0" fillId="0" borderId="3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2" fillId="0" borderId="3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4" fillId="0" borderId="3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6" fillId="0" borderId="3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8" fillId="0" borderId="3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0" fillId="0" borderId="3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2" fillId="0" borderId="3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4" fillId="0" borderId="3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6" fillId="0" borderId="3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8" fillId="0" borderId="3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0" fillId="0" borderId="3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2" fillId="0" borderId="3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4" fillId="0" borderId="3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6" fillId="0" borderId="3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8" fillId="0" borderId="3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0" fillId="0" borderId="3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2" fillId="0" borderId="3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4" fillId="0" borderId="3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6" fillId="0" borderId="3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98" fillId="0" borderId="3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0" fillId="0" borderId="3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2" fillId="0" borderId="3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4" fillId="0" borderId="3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6" fillId="0" borderId="3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8" fillId="0" borderId="3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0" fillId="0" borderId="3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2" fillId="0" borderId="3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4" fillId="0" borderId="3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6" fillId="0" borderId="3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8" fillId="0" borderId="3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0" fillId="0" borderId="3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2" fillId="0" borderId="3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4" fillId="0" borderId="3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6" fillId="0" borderId="3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8" fillId="0" borderId="3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0" fillId="0" borderId="3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2" fillId="0" borderId="3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4" fillId="0" borderId="3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6" fillId="0" borderId="3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8" fillId="0" borderId="3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0" fillId="0" borderId="3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2" fillId="0" borderId="3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4" fillId="0" borderId="3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6" fillId="0" borderId="3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8" fillId="0" borderId="3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0" fillId="0" borderId="3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2" fillId="0" borderId="3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4" fillId="0" borderId="3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6" fillId="0" borderId="3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8" fillId="0" borderId="3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0" fillId="0" borderId="3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2" fillId="0" borderId="3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4" fillId="0" borderId="3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6" fillId="0" borderId="3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8" fillId="0" borderId="3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0" fillId="0" borderId="3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2" fillId="0" borderId="3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4" fillId="0" borderId="3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6" fillId="0" borderId="3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8" fillId="0" borderId="3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0" fillId="0" borderId="3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2" fillId="0" borderId="3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4" fillId="0" borderId="3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6" fillId="0" borderId="3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8" fillId="0" borderId="3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0" fillId="0" borderId="3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2" fillId="0" borderId="3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4" fillId="0" borderId="3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6" fillId="0" borderId="3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8" fillId="0" borderId="3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0" fillId="0" borderId="3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2" fillId="0" borderId="3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4" fillId="0" borderId="3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6" fillId="0" borderId="3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8" fillId="0" borderId="3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0" fillId="0" borderId="3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2" fillId="0" borderId="3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414" fillId="0" borderId="3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16" fillId="0" borderId="3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8" fillId="0" borderId="3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20" fillId="0" borderId="3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422" fillId="0" borderId="3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24" fillId="0" borderId="3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6" fillId="0" borderId="3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28" fillId="0" borderId="3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430" fillId="0" borderId="3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32" fillId="0" borderId="3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4" fillId="0" borderId="3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6" fillId="0" borderId="3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438" fillId="0" borderId="3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40" fillId="0" borderId="3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2" fillId="0" borderId="3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4" fillId="0" borderId="3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446" fillId="0" borderId="3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48" fillId="0" borderId="3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0" fillId="0" borderId="3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2" fillId="0" borderId="3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454" fillId="0" borderId="3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56" fillId="0" borderId="3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8" fillId="0" borderId="3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0" fillId="0" borderId="3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462" fillId="0" borderId="3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64" fillId="0" borderId="3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6" fillId="0" borderId="3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8" fillId="0" borderId="3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470" fillId="0" borderId="3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2" fillId="0" borderId="3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4" fillId="0" borderId="3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6" fillId="0" borderId="3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8" fillId="0" borderId="3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80" fillId="0" borderId="3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82" fillId="0" borderId="3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84" fillId="0" borderId="3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86" fillId="0" borderId="3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88" fillId="0" borderId="3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0" fillId="0" borderId="3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92" fillId="0" borderId="3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94" fillId="0" borderId="3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96" fillId="0" borderId="3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98" fillId="0" borderId="3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00" fillId="0" borderId="3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02" fillId="0" borderId="3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04" fillId="0" borderId="3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6" fillId="0" borderId="3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08" fillId="0" borderId="3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10" fillId="0" borderId="3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12" fillId="0" borderId="3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14" fillId="0" borderId="3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16" fillId="0" borderId="3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18" fillId="0" borderId="3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20" fillId="0" borderId="3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2" fillId="0" borderId="3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24" fillId="0" borderId="3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26" fillId="0" borderId="3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28" fillId="0" borderId="3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30" fillId="0" borderId="3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32" fillId="0" borderId="3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34" fillId="0" borderId="3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36" fillId="0" borderId="3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8" fillId="0" borderId="3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40" fillId="0" borderId="3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2" fillId="0" borderId="3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4" fillId="0" borderId="3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6" fillId="0" borderId="3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48" fillId="0" borderId="3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0" fillId="0" borderId="3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1" fillId="0" borderId="33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52" fillId="0" borderId="33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53" fillId="0" borderId="33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54" fillId="0" borderId="33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55" fillId="0" borderId="33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56" fillId="0" borderId="33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57" fillId="0" borderId="33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58" fillId="0" borderId="33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59" fillId="0" borderId="33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60" fillId="0" borderId="33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61" fillId="0" borderId="33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62" fillId="0" borderId="33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63" fillId="0" borderId="33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64" fillId="0" borderId="33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65" fillId="0" borderId="33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66" fillId="0" borderId="33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67" fillId="0" borderId="33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68" fillId="0" borderId="33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69" fillId="0" borderId="33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70" fillId="0" borderId="33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71" fillId="0" borderId="33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72" fillId="0" borderId="33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73" fillId="0" borderId="33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74" fillId="0" borderId="33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75" fillId="0" borderId="33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76" fillId="0" borderId="33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77" fillId="0" borderId="33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78" fillId="0" borderId="33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79" fillId="0" borderId="33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80" fillId="0" borderId="33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81" fillId="0" borderId="33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82" fillId="0" borderId="33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83" fillId="0" borderId="33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84" fillId="0" borderId="33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85" fillId="0" borderId="34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86" fillId="0" borderId="34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87" fillId="0" borderId="34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88" fillId="0" borderId="34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89" fillId="0" borderId="34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90" fillId="0" borderId="34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91" fillId="0" borderId="34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92" fillId="0" borderId="34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93" fillId="0" borderId="34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94" fillId="0" borderId="34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95" fillId="0" borderId="34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96" fillId="0" borderId="34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97" fillId="0" borderId="34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98" fillId="0" borderId="34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99" fillId="0" borderId="34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00" fillId="0" borderId="34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01" fillId="0" borderId="34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02" fillId="0" borderId="34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03" fillId="0" borderId="34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04" fillId="0" borderId="34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05" fillId="0" borderId="34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06" fillId="0" borderId="34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07" fillId="0" borderId="34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08" fillId="0" borderId="34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09" fillId="0" borderId="34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10" fillId="0" borderId="34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11" fillId="0" borderId="34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12" fillId="0" borderId="34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13" fillId="0" borderId="34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14" fillId="0" borderId="34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15" fillId="0" borderId="34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16" fillId="0" borderId="34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17" fillId="0" borderId="34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18" fillId="0" borderId="34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19" fillId="0" borderId="34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20" fillId="0" borderId="34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21" fillId="0" borderId="34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22" fillId="0" borderId="34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23" fillId="0" borderId="34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24" fillId="0" borderId="343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25" fillId="0" borderId="34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26" fillId="0" borderId="34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27" fillId="0" borderId="34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28" fillId="0" borderId="344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29" fillId="0" borderId="34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30" fillId="0" borderId="34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31" fillId="0" borderId="34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32" fillId="0" borderId="344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33" fillId="0" borderId="34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34" fillId="0" borderId="34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35" fillId="0" borderId="34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36" fillId="0" borderId="345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37" fillId="0" borderId="34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38" fillId="0" borderId="34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39" fillId="0" borderId="34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40" fillId="0" borderId="345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41" fillId="0" borderId="34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42" fillId="0" borderId="34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43" fillId="0" borderId="34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44" fillId="0" borderId="345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45" fillId="0" borderId="34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46" fillId="0" borderId="34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47" fillId="0" borderId="34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48" fillId="0" borderId="346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49" fillId="0" borderId="34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50" fillId="0" borderId="34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51" fillId="0" borderId="34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52" fillId="0" borderId="346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53" fillId="0" borderId="34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54" fillId="0" borderId="34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55" fillId="0" borderId="34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56" fillId="0" borderId="34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57" fillId="0" borderId="34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58" fillId="0" borderId="34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59" fillId="0" borderId="34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60" fillId="0" borderId="34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61" fillId="0" borderId="34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62" fillId="0" borderId="34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63" fillId="0" borderId="34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64" fillId="0" borderId="34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65" fillId="0" borderId="34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66" fillId="0" borderId="34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67" fillId="0" borderId="34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68" fillId="0" borderId="34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69" fillId="0" borderId="34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70" fillId="0" borderId="34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71" fillId="0" borderId="34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72" fillId="0" borderId="34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73" fillId="0" borderId="34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74" fillId="0" borderId="34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75" fillId="0" borderId="34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76" fillId="0" borderId="34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77" fillId="0" borderId="34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78" fillId="0" borderId="34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79" fillId="0" borderId="34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80" fillId="0" borderId="34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81" fillId="0" borderId="34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82" fillId="0" borderId="34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83" fillId="0" borderId="34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84" fillId="0" borderId="34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85" fillId="0" borderId="35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86" fillId="0" borderId="35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87" fillId="0" borderId="35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88" fillId="0" borderId="35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89" fillId="0" borderId="35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90" fillId="0" borderId="35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91" fillId="0" borderId="35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92" fillId="0" borderId="35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93" fillId="0" borderId="35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94" fillId="0" borderId="35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0" fillId="0" borderId="3510" xfId="0"/>
    <xf numFmtId="0" fontId="0" fillId="0" borderId="3511" xfId="0" applyBorder="true"/>
    <xf numFmtId="0" fontId="4696" fillId="0" borderId="3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513" xfId="0"/>
    <xf numFmtId="0" fontId="4697" fillId="0" borderId="3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515" xfId="0"/>
    <xf numFmtId="0" fontId="0" fillId="0" borderId="3516" xfId="0" applyBorder="true"/>
    <xf numFmtId="0" fontId="4698" fillId="0" borderId="3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9" fillId="0" borderId="3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0" fillId="0" borderId="3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1" fillId="0" borderId="3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521" xfId="0"/>
    <xf numFmtId="0" fontId="0" fillId="0" borderId="3522" xfId="0"/>
    <xf numFmtId="0" fontId="0" fillId="0" borderId="3523" xfId="0"/>
    <xf numFmtId="0" fontId="0" fillId="0" borderId="3524" xfId="0"/>
    <xf numFmtId="0" fontId="0" fillId="0" borderId="3525" xfId="0"/>
    <xf numFmtId="0" fontId="0" fillId="0" borderId="3526" xfId="0" applyBorder="true"/>
    <xf numFmtId="0" fontId="4702" fillId="0" borderId="3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3" fillId="0" borderId="3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4" fillId="0" borderId="3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5" fillId="0" borderId="3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6" fillId="0" borderId="3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532" xfId="0"/>
    <xf numFmtId="0" fontId="4708" fillId="0" borderId="3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9" fillId="0" borderId="3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0" fillId="0" borderId="3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1" fillId="0" borderId="3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2" fillId="0" borderId="3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3" fillId="0" borderId="3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4" fillId="0" borderId="3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5" fillId="0" borderId="3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6" fillId="0" borderId="3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7" fillId="0" borderId="3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8" fillId="0" borderId="3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9" fillId="0" borderId="3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0" fillId="0" borderId="3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1" fillId="0" borderId="3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2" fillId="0" borderId="3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3" fillId="0" borderId="3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4" fillId="0" borderId="3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5" fillId="0" borderId="3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6" fillId="0" borderId="3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7" fillId="0" borderId="3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8" fillId="0" borderId="3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9" fillId="0" borderId="3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30" fillId="0" borderId="3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31" fillId="0" borderId="3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32" fillId="0" borderId="3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33" fillId="0" borderId="3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34" fillId="0" borderId="3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35" fillId="0" borderId="35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36" fillId="0" borderId="3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737" fillId="0" borderId="3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8" fillId="0" borderId="3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9" fillId="0" borderId="3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0" fillId="0" borderId="3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1" fillId="0" borderId="3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2" fillId="0" borderId="3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3" fillId="0" borderId="3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4" fillId="0" borderId="3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5" fillId="0" borderId="3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6" fillId="0" borderId="3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7" fillId="0" borderId="3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8" fillId="0" borderId="3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9" fillId="0" borderId="3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0" fillId="0" borderId="3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1" fillId="0" borderId="3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2" fillId="0" borderId="3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3" fillId="0" borderId="3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4" fillId="0" borderId="3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5" fillId="0" borderId="3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6" fillId="0" borderId="3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757" fillId="0" borderId="3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758" fillId="0" borderId="3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759" fillId="0" borderId="3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760" fillId="0" borderId="3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761" fillId="0" borderId="3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762" fillId="0" borderId="3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763" fillId="0" borderId="3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764" fillId="0" borderId="3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765" fillId="0" borderId="3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766" fillId="0" borderId="3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767" fillId="0" borderId="3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768" fillId="0" borderId="3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769" fillId="0" borderId="3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770" fillId="0" borderId="3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771" fillId="0" borderId="3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772" fillId="0" borderId="3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773" fillId="0" borderId="3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774" fillId="0" borderId="3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775" fillId="0" borderId="3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776" fillId="0" borderId="3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78" fillId="0" borderId="3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80" fillId="0" borderId="3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82" fillId="0" borderId="3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84" fillId="0" borderId="3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6" fillId="0" borderId="3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8" fillId="0" borderId="3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0" fillId="0" borderId="3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2" fillId="0" borderId="3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4" fillId="0" borderId="3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6" fillId="0" borderId="3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8" fillId="0" borderId="3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0" fillId="0" borderId="36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02" fillId="0" borderId="3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4" fillId="0" borderId="3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6" fillId="0" borderId="3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8" fillId="0" borderId="3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0" fillId="0" borderId="3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2" fillId="0" borderId="3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4" fillId="0" borderId="3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6" fillId="0" borderId="3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8" fillId="0" borderId="3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0" fillId="0" borderId="3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2" fillId="0" borderId="3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4" fillId="0" borderId="3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6" fillId="0" borderId="3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28" fillId="0" borderId="3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30" fillId="0" borderId="3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32" fillId="0" borderId="3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4" fillId="0" borderId="3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36" fillId="0" borderId="3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38" fillId="0" borderId="3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0" fillId="0" borderId="3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2" fillId="0" borderId="3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4" fillId="0" borderId="3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6" fillId="0" borderId="3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8" fillId="0" borderId="3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0" fillId="0" borderId="3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52" fillId="0" borderId="3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54" fillId="0" borderId="3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56" fillId="0" borderId="3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8" fillId="0" borderId="3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0" fillId="0" borderId="3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862" fillId="0" borderId="3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64" fillId="0" borderId="3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6" fillId="0" borderId="3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8" fillId="0" borderId="3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870" fillId="0" borderId="3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72" fillId="0" borderId="3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4" fillId="0" borderId="3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6" fillId="0" borderId="3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878" fillId="0" borderId="3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80" fillId="0" borderId="3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2" fillId="0" borderId="3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84" fillId="0" borderId="3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886" fillId="0" borderId="3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88" fillId="0" borderId="3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0" fillId="0" borderId="3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2" fillId="0" borderId="3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894" fillId="0" borderId="3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96" fillId="0" borderId="3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8" fillId="0" borderId="3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0" fillId="0" borderId="3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02" fillId="0" borderId="3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04" fillId="0" borderId="3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6" fillId="0" borderId="3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8" fillId="0" borderId="3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10" fillId="0" borderId="3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12" fillId="0" borderId="3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4" fillId="0" borderId="3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6" fillId="0" borderId="3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18" fillId="0" borderId="3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20" fillId="0" borderId="3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2" fillId="0" borderId="3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4" fillId="0" borderId="3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26" fillId="0" borderId="3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28" fillId="0" borderId="3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0" fillId="0" borderId="3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2" fillId="0" borderId="3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34" fillId="0" borderId="3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36" fillId="0" borderId="3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8" fillId="0" borderId="3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40" fillId="0" borderId="3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42" fillId="0" borderId="3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44" fillId="0" borderId="3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6" fillId="0" borderId="3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48" fillId="0" borderId="3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50" fillId="0" borderId="3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52" fillId="0" borderId="3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4" fillId="0" borderId="3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56" fillId="0" borderId="3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58" fillId="0" borderId="3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60" fillId="0" borderId="3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2" fillId="0" borderId="3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64" fillId="0" borderId="3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66" fillId="0" borderId="3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68" fillId="0" borderId="3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0" fillId="0" borderId="3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72" fillId="0" borderId="3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74" fillId="0" borderId="3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75" fillId="0" borderId="37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76" fillId="0" borderId="37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77" fillId="0" borderId="37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78" fillId="0" borderId="37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79" fillId="0" borderId="37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80" fillId="0" borderId="37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81" fillId="0" borderId="37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82" fillId="0" borderId="37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83" fillId="0" borderId="37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84" fillId="0" borderId="37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85" fillId="0" borderId="37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86" fillId="0" borderId="37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87" fillId="0" borderId="37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88" fillId="0" borderId="37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89" fillId="0" borderId="37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90" fillId="0" borderId="37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91" fillId="0" borderId="37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92" fillId="0" borderId="37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93" fillId="0" borderId="37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94" fillId="0" borderId="37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95" fillId="0" borderId="37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96" fillId="0" borderId="37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97" fillId="0" borderId="37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98" fillId="0" borderId="37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99" fillId="0" borderId="37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00" fillId="0" borderId="37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01" fillId="0" borderId="37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02" fillId="0" borderId="37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03" fillId="0" borderId="37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04" fillId="0" borderId="37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05" fillId="0" borderId="37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06" fillId="0" borderId="37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07" fillId="0" borderId="37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08" fillId="0" borderId="37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09" fillId="0" borderId="37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10" fillId="0" borderId="37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11" fillId="0" borderId="37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012" fillId="0" borderId="373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013" fillId="0" borderId="37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014" fillId="0" borderId="37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15" fillId="0" borderId="37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016" fillId="0" borderId="374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017" fillId="0" borderId="37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018" fillId="0" borderId="37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19" fillId="0" borderId="37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020" fillId="0" borderId="374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021" fillId="0" borderId="37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022" fillId="0" borderId="37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23" fillId="0" borderId="37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024" fillId="0" borderId="375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025" fillId="0" borderId="37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026" fillId="0" borderId="37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27" fillId="0" borderId="37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028" fillId="0" borderId="375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029" fillId="0" borderId="37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030" fillId="0" borderId="37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31" fillId="0" borderId="37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032" fillId="0" borderId="375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033" fillId="0" borderId="37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034" fillId="0" borderId="37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35" fillId="0" borderId="37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036" fillId="0" borderId="376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037" fillId="0" borderId="37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038" fillId="0" borderId="37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39" fillId="0" borderId="37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040" fillId="0" borderId="376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041" fillId="0" borderId="37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042" fillId="0" borderId="37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43" fillId="0" borderId="37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044" fillId="0" borderId="377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045" fillId="0" borderId="37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046" fillId="0" borderId="37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47" fillId="0" borderId="37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048" fillId="0" borderId="377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049" fillId="0" borderId="37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050" fillId="0" borderId="37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1" fillId="0" borderId="37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52" fillId="0" borderId="37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3" fillId="0" borderId="37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4" fillId="0" borderId="37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5" fillId="0" borderId="37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56" fillId="0" borderId="37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7" fillId="0" borderId="37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8" fillId="0" borderId="37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9" fillId="0" borderId="37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60" fillId="0" borderId="37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61" fillId="0" borderId="37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62" fillId="0" borderId="37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63" fillId="0" borderId="37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64" fillId="0" borderId="37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65" fillId="0" borderId="37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66" fillId="0" borderId="37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67" fillId="0" borderId="37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68" fillId="0" borderId="37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69" fillId="0" borderId="37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70" fillId="0" borderId="37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0" fillId="0" borderId="3797" xfId="0"/>
    <xf numFmtId="0" fontId="5071" fillId="0" borderId="3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2" fillId="0" borderId="3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3" fillId="0" borderId="3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4" fillId="0" borderId="3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5" fillId="0" borderId="3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6" fillId="0" borderId="3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7" fillId="0" borderId="3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8" fillId="0" borderId="3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9" fillId="0" borderId="3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0" fillId="0" borderId="3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1" fillId="0" borderId="3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2" fillId="0" borderId="3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3" fillId="0" borderId="3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4" fillId="0" borderId="3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5" fillId="0" borderId="3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6" fillId="0" borderId="3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8" fillId="0" borderId="3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815" xfId="0"/>
    <xf numFmtId="0" fontId="0" fillId="0" borderId="3816" xfId="0"/>
    <xf numFmtId="0" fontId="0" fillId="0" borderId="3817" xfId="0"/>
    <xf numFmtId="0" fontId="0" fillId="0" borderId="3818" xfId="0"/>
    <xf numFmtId="0" fontId="0" fillId="0" borderId="3819" xfId="0"/>
    <xf numFmtId="0" fontId="0" fillId="0" borderId="3820" xfId="0"/>
    <xf numFmtId="0" fontId="0" fillId="0" borderId="3821" xfId="0"/>
    <xf numFmtId="0" fontId="0" fillId="0" borderId="3822" xfId="0"/>
    <xf numFmtId="0" fontId="0" fillId="0" borderId="3823" xfId="0"/>
    <xf numFmtId="0" fontId="5089" fillId="0" borderId="3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825" xfId="0"/>
    <xf numFmtId="0" fontId="5090" fillId="0" borderId="3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827" xfId="0"/>
    <xf numFmtId="0" fontId="5091" fillId="0" borderId="3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829" xfId="0"/>
    <xf numFmtId="0" fontId="5092" fillId="0" borderId="3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3" fillId="0" borderId="38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4" fillId="0" borderId="3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5" fillId="0" borderId="38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6" fillId="0" borderId="3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7" fillId="0" borderId="3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8" fillId="0" borderId="38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9" fillId="0" borderId="3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0" fillId="0" borderId="38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1" fillId="0" borderId="3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2" fillId="0" borderId="38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3" fillId="0" borderId="3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4" fillId="0" borderId="3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5" fillId="0" borderId="3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6" fillId="0" borderId="3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7" fillId="0" borderId="3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8" fillId="0" borderId="3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9" fillId="0" borderId="3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0" fillId="0" borderId="3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1" fillId="0" borderId="3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2" fillId="0" borderId="3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3" fillId="0" borderId="3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4" fillId="0" borderId="3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5" fillId="0" borderId="3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6" fillId="0" borderId="3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7" fillId="0" borderId="3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8" fillId="0" borderId="3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9" fillId="0" borderId="3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0" fillId="0" borderId="3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1" fillId="0" borderId="3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2" fillId="0" borderId="3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3" fillId="0" borderId="3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4" fillId="0" borderId="3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5" fillId="0" borderId="3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6" fillId="0" borderId="3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7" fillId="0" borderId="3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8" fillId="0" borderId="3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9" fillId="0" borderId="3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0" fillId="0" borderId="3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1" fillId="0" borderId="3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2" fillId="0" borderId="3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3" fillId="0" borderId="3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4" fillId="0" borderId="3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873" xfId="0"/>
    <xf numFmtId="0" fontId="0" fillId="0" borderId="3874" xfId="0"/>
    <xf numFmtId="0" fontId="0" fillId="0" borderId="3875" xfId="0"/>
    <xf numFmtId="0" fontId="0" fillId="0" borderId="3876" xfId="0"/>
    <xf numFmtId="0" fontId="0" fillId="0" borderId="3877" xfId="0"/>
    <xf numFmtId="0" fontId="0" fillId="0" borderId="3878" xfId="0"/>
    <xf numFmtId="0" fontId="0" fillId="0" borderId="3879" xfId="0"/>
    <xf numFmtId="0" fontId="0" fillId="0" borderId="3880" xfId="0"/>
    <xf numFmtId="0" fontId="0" fillId="0" borderId="3881" xfId="0"/>
    <xf numFmtId="0" fontId="0" fillId="0" borderId="3882" xfId="0"/>
    <xf numFmtId="0" fontId="0" fillId="0" borderId="3883" xfId="0"/>
    <xf numFmtId="0" fontId="0" fillId="0" borderId="3884" xfId="0"/>
    <xf numFmtId="0" fontId="0" fillId="0" borderId="3885" xfId="0"/>
    <xf numFmtId="0" fontId="0" fillId="0" borderId="3886" xfId="0"/>
    <xf numFmtId="0" fontId="5135" fillId="0" borderId="3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6" fillId="0" borderId="3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889" xfId="0"/>
    <xf numFmtId="0" fontId="0" fillId="0" borderId="3890" xfId="0"/>
    <xf numFmtId="0" fontId="5137" fillId="0" borderId="3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8" fillId="0" borderId="3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893" xfId="0"/>
    <xf numFmtId="0" fontId="0" fillId="0" borderId="3894" xfId="0"/>
    <xf numFmtId="0" fontId="5139" fillId="0" borderId="3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0" fillId="0" borderId="3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897" xfId="0"/>
    <xf numFmtId="0" fontId="0" fillId="0" borderId="3898" xfId="0"/>
    <xf numFmtId="0" fontId="5141" fillId="0" borderId="3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2" fillId="0" borderId="3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3" fillId="0" borderId="3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4" fillId="0" borderId="3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5" fillId="0" borderId="3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6" fillId="0" borderId="3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7" fillId="0" borderId="3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8" fillId="0" borderId="3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9" fillId="0" borderId="3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0" fillId="0" borderId="3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1" fillId="0" borderId="3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2" fillId="0" borderId="3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3" fillId="0" borderId="3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4" fillId="0" borderId="3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5" fillId="0" borderId="3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6" fillId="0" borderId="3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915" xfId="0"/>
    <xf numFmtId="0" fontId="5158" fillId="0" borderId="3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9" fillId="0" borderId="3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0" fillId="0" borderId="3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1" fillId="0" borderId="3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2" fillId="0" borderId="39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3" fillId="0" borderId="3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4" fillId="0" borderId="39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5" fillId="0" borderId="3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6" fillId="0" borderId="39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7" fillId="0" borderId="39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8" fillId="0" borderId="39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9" fillId="0" borderId="3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70" fillId="0" borderId="3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71" fillId="0" borderId="3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72" fillId="0" borderId="3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73" fillId="0" borderId="3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74" fillId="0" borderId="3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75" fillId="0" borderId="3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76" fillId="0" borderId="3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77" fillId="0" borderId="39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78" fillId="0" borderId="39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79" fillId="0" borderId="3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80" fillId="0" borderId="39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81" fillId="0" borderId="39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82" fillId="0" borderId="39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83" fillId="0" borderId="39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84" fillId="0" borderId="3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85" fillId="0" borderId="3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86" fillId="0" borderId="3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87" fillId="0" borderId="3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88" fillId="0" borderId="39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89" fillId="0" borderId="39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90" fillId="0" borderId="39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91" fillId="0" borderId="39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92" fillId="0" borderId="39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93" fillId="0" borderId="39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94" fillId="0" borderId="39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95" fillId="0" borderId="39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96" fillId="0" borderId="39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97" fillId="0" borderId="39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98" fillId="0" borderId="39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99" fillId="0" borderId="39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00" fillId="0" borderId="39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01" fillId="0" borderId="39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02" fillId="0" borderId="3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03" fillId="0" borderId="3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04" fillId="0" borderId="39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05" fillId="0" borderId="3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06" fillId="0" borderId="3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07" fillId="0" borderId="3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08" fillId="0" borderId="39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09" fillId="0" borderId="3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0" fillId="0" borderId="39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1" fillId="0" borderId="39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2" fillId="0" borderId="39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3" fillId="0" borderId="3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4" fillId="0" borderId="3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5" fillId="0" borderId="3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6" fillId="0" borderId="3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7" fillId="0" borderId="3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8" fillId="0" borderId="3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9" fillId="0" borderId="3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20" fillId="0" borderId="39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21" fillId="0" borderId="3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22" fillId="0" borderId="3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23" fillId="0" borderId="3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24" fillId="0" borderId="39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25" fillId="0" borderId="39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26" fillId="0" borderId="3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27" fillId="0" borderId="3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28" fillId="0" borderId="3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29" fillId="0" borderId="3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0" fillId="0" borderId="3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1" fillId="0" borderId="3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2" fillId="0" borderId="3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3" fillId="0" borderId="3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4" fillId="0" borderId="3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5" fillId="0" borderId="3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6" fillId="0" borderId="39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7" fillId="0" borderId="3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8" fillId="0" borderId="39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9" fillId="0" borderId="39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0" fillId="0" borderId="39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1" fillId="0" borderId="3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2" fillId="0" borderId="4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3" fillId="0" borderId="4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4" fillId="0" borderId="4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5" fillId="0" borderId="4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6" fillId="0" borderId="4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7" fillId="0" borderId="4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8" fillId="0" borderId="4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9" fillId="0" borderId="4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250" fillId="0" borderId="4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1" fillId="0" borderId="4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2" fillId="0" borderId="4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3" fillId="0" borderId="4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4" fillId="0" borderId="4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55" fillId="0" borderId="4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56" fillId="0" borderId="4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57" fillId="0" borderId="4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58" fillId="0" borderId="4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9" fillId="0" borderId="4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0" fillId="0" borderId="4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1" fillId="0" borderId="4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2" fillId="0" borderId="4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63" fillId="0" borderId="4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64" fillId="0" borderId="4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65" fillId="0" borderId="4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66" fillId="0" borderId="4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7" fillId="0" borderId="4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8" fillId="0" borderId="4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9" fillId="0" borderId="4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0" fillId="0" borderId="4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71" fillId="0" borderId="4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72" fillId="0" borderId="4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73" fillId="0" borderId="4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74" fillId="0" borderId="4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5" fillId="0" borderId="4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6" fillId="0" borderId="4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7" fillId="0" borderId="4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8" fillId="0" borderId="4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79" fillId="0" borderId="4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80" fillId="0" borderId="4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81" fillId="0" borderId="4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82" fillId="0" borderId="4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3" fillId="0" borderId="4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284" fillId="0" borderId="4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5" fillId="0" borderId="4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286" fillId="0" borderId="4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7" fillId="0" borderId="4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288" fillId="0" borderId="4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9" fillId="0" borderId="4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290" fillId="0" borderId="4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291" fillId="0" borderId="4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292" fillId="0" borderId="4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293" fillId="0" borderId="4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294" fillId="0" borderId="4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295" fillId="0" borderId="4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296" fillId="0" borderId="4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297" fillId="0" borderId="4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298" fillId="0" borderId="4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299" fillId="0" borderId="4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00" fillId="0" borderId="4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01" fillId="0" borderId="4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02" fillId="0" borderId="4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303" fillId="0" borderId="40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304" fillId="0" borderId="4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305" fillId="0" borderId="40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306" fillId="0" borderId="4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07" fillId="0" borderId="4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08" fillId="0" borderId="4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09" fillId="0" borderId="4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10" fillId="0" borderId="4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311" fillId="0" borderId="4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312" fillId="0" borderId="4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313" fillId="0" borderId="4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314" fillId="0" borderId="4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15" fillId="0" borderId="4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16" fillId="0" borderId="4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17" fillId="0" borderId="4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18" fillId="0" borderId="40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319" fillId="0" borderId="4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320" fillId="0" borderId="40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321" fillId="0" borderId="4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23" fillId="0" borderId="4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5" fillId="0" borderId="4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7" fillId="0" borderId="4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29" fillId="0" borderId="40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31" fillId="0" borderId="4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3" fillId="0" borderId="4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5" fillId="0" borderId="4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37" fillId="0" borderId="40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39" fillId="0" borderId="4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1" fillId="0" borderId="4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3" fillId="0" borderId="4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45" fillId="0" borderId="40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47" fillId="0" borderId="4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9" fillId="0" borderId="4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1" fillId="0" borderId="4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53" fillId="0" borderId="40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55" fillId="0" borderId="4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7" fillId="0" borderId="4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9" fillId="0" borderId="4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61" fillId="0" borderId="4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63" fillId="0" borderId="4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5" fillId="0" borderId="4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7" fillId="0" borderId="4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69" fillId="0" borderId="4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71" fillId="0" borderId="4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3" fillId="0" borderId="4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5" fillId="0" borderId="4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77" fillId="0" borderId="4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79" fillId="0" borderId="4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1" fillId="0" borderId="4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3" fillId="0" borderId="4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85" fillId="0" borderId="4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7" fillId="0" borderId="4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9" fillId="0" borderId="4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1" fillId="0" borderId="4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3" fillId="0" borderId="4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5" fillId="0" borderId="4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7" fillId="0" borderId="4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9" fillId="0" borderId="4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01" fillId="0" borderId="4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03" fillId="0" borderId="4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05" fillId="0" borderId="4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07" fillId="0" borderId="4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09" fillId="0" borderId="4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11" fillId="0" borderId="4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13" fillId="0" borderId="4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15" fillId="0" borderId="4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17" fillId="0" borderId="4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9" fillId="0" borderId="4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1" fillId="0" borderId="4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3" fillId="0" borderId="4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5" fillId="0" borderId="4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7" fillId="0" borderId="4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9" fillId="0" borderId="4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1" fillId="0" borderId="4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3" fillId="0" borderId="4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5" fillId="0" borderId="4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7" fillId="0" borderId="4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9" fillId="0" borderId="4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1" fillId="0" borderId="4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3" fillId="0" borderId="4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5" fillId="0" borderId="4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7" fillId="0" borderId="4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9" fillId="0" borderId="4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1" fillId="0" borderId="4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3" fillId="0" borderId="4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5" fillId="0" borderId="4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7" fillId="0" borderId="4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9" fillId="0" borderId="4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1" fillId="0" borderId="4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3" fillId="0" borderId="4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5" fillId="0" borderId="4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7" fillId="0" borderId="4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9" fillId="0" borderId="4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1" fillId="0" borderId="4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3" fillId="0" borderId="4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5" fillId="0" borderId="4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7" fillId="0" borderId="4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9" fillId="0" borderId="4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1" fillId="0" borderId="4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83" fillId="0" borderId="4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5" fillId="0" borderId="4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7" fillId="0" borderId="4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9" fillId="0" borderId="4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1" fillId="0" borderId="4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3" fillId="0" borderId="4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5" fillId="0" borderId="4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7" fillId="0" borderId="4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9" fillId="0" borderId="4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1" fillId="0" borderId="4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3" fillId="0" borderId="4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5" fillId="0" borderId="4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7" fillId="0" borderId="4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9" fillId="0" borderId="4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1" fillId="0" borderId="4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3" fillId="0" borderId="4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5" fillId="0" borderId="4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7" fillId="0" borderId="4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9" fillId="0" borderId="4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1" fillId="0" borderId="4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3" fillId="0" borderId="4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5" fillId="0" borderId="4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7" fillId="0" borderId="4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9" fillId="0" borderId="4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1" fillId="0" borderId="4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3" fillId="0" borderId="4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5" fillId="0" borderId="4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7" fillId="0" borderId="4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9" fillId="0" borderId="4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1" fillId="0" borderId="4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3" fillId="0" borderId="4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5" fillId="0" borderId="4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7" fillId="0" borderId="4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9" fillId="0" borderId="4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1" fillId="0" borderId="4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3" fillId="0" borderId="4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5" fillId="0" borderId="4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7" fillId="0" borderId="4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9" fillId="0" borderId="4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1" fillId="0" borderId="4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3" fillId="0" borderId="4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5" fillId="0" borderId="4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7" fillId="0" borderId="4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9" fillId="0" borderId="4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1" fillId="0" borderId="4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3" fillId="0" borderId="4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5" fillId="0" borderId="4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7" fillId="0" borderId="4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9" fillId="0" borderId="4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81" fillId="0" borderId="4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83" fillId="0" borderId="4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85" fillId="0" borderId="4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87" fillId="0" borderId="4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89" fillId="0" borderId="4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1" fillId="0" borderId="4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3" fillId="0" borderId="4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5" fillId="0" borderId="4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7" fillId="0" borderId="4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9" fillId="0" borderId="4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1" fillId="0" borderId="4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3" fillId="0" borderId="4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5" fillId="0" borderId="4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7" fillId="0" borderId="4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9" fillId="0" borderId="4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1" fillId="0" borderId="4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13" fillId="0" borderId="4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15" fillId="0" borderId="4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17" fillId="0" borderId="4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19" fillId="0" borderId="4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21" fillId="0" borderId="4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23" fillId="0" borderId="4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25" fillId="0" borderId="4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27" fillId="0" borderId="4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29" fillId="0" borderId="4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31" fillId="0" borderId="4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33" fillId="0" borderId="4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35" fillId="0" borderId="4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37" fillId="0" borderId="4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39" fillId="0" borderId="4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41" fillId="0" borderId="4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3" fillId="0" borderId="4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45" fillId="0" borderId="4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7" fillId="0" borderId="4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9" fillId="0" borderId="4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1" fillId="0" borderId="4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53" fillId="0" borderId="4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5" fillId="0" borderId="4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7" fillId="0" borderId="4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9" fillId="0" borderId="4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61" fillId="0" borderId="4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3" fillId="0" borderId="4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5" fillId="0" borderId="4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7" fillId="0" borderId="4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69" fillId="0" borderId="4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1" fillId="0" borderId="4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3" fillId="0" borderId="4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5" fillId="0" borderId="4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77" fillId="0" borderId="4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9" fillId="0" borderId="4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81" fillId="0" borderId="4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3" fillId="0" borderId="4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85" fillId="0" borderId="4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7" fillId="0" borderId="4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89" fillId="0" borderId="4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1" fillId="0" borderId="4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93" fillId="0" borderId="4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5" fillId="0" borderId="4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97" fillId="0" borderId="4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9" fillId="0" borderId="4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01" fillId="0" borderId="4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3" fillId="0" borderId="4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05" fillId="0" borderId="4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7" fillId="0" borderId="4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09" fillId="0" borderId="4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711" fillId="0" borderId="4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13" fillId="0" borderId="4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5" fillId="0" borderId="4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17" fillId="0" borderId="4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719" fillId="0" borderId="4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21" fillId="0" borderId="4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3" fillId="0" borderId="4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5" fillId="0" borderId="4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727" fillId="0" borderId="4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29" fillId="0" borderId="4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1" fillId="0" borderId="4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3" fillId="0" borderId="4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735" fillId="0" borderId="4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37" fillId="0" borderId="4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9" fillId="0" borderId="4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1" fillId="0" borderId="4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743" fillId="0" borderId="4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45" fillId="0" borderId="4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7" fillId="0" borderId="4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9" fillId="0" borderId="4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751" fillId="0" borderId="4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53" fillId="0" borderId="4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5" fillId="0" borderId="4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7" fillId="0" borderId="4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759" fillId="0" borderId="4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61" fillId="0" borderId="4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3" fillId="0" borderId="4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5" fillId="0" borderId="4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767" fillId="0" borderId="4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69" fillId="0" borderId="4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1" fillId="0" borderId="4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3" fillId="0" borderId="4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775" fillId="0" borderId="4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77" fillId="0" borderId="4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9" fillId="0" borderId="4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1" fillId="0" borderId="4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783" fillId="0" borderId="4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85" fillId="0" borderId="4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7" fillId="0" borderId="4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9" fillId="0" borderId="4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791" fillId="0" borderId="4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93" fillId="0" borderId="4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5" fillId="0" borderId="4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7" fillId="0" borderId="4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799" fillId="0" borderId="4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01" fillId="0" borderId="4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3" fillId="0" borderId="4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5" fillId="0" borderId="4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807" fillId="0" borderId="4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09" fillId="0" borderId="4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1" fillId="0" borderId="4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13" fillId="0" borderId="4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815" fillId="0" borderId="4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17" fillId="0" borderId="4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9" fillId="0" borderId="4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1" fillId="0" borderId="4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823" fillId="0" borderId="4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25" fillId="0" borderId="4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7" fillId="0" borderId="4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9" fillId="0" borderId="4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831" fillId="0" borderId="4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33" fillId="0" borderId="4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5" fillId="0" borderId="4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37" fillId="0" borderId="4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39" fillId="0" borderId="4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41" fillId="0" borderId="4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43" fillId="0" borderId="4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45" fillId="0" borderId="4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47" fillId="0" borderId="4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49" fillId="0" borderId="4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51" fillId="0" borderId="4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53" fillId="0" borderId="4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55" fillId="0" borderId="4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57" fillId="0" borderId="4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59" fillId="0" borderId="4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61" fillId="0" borderId="4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63" fillId="0" borderId="4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65" fillId="0" borderId="4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7" fillId="0" borderId="4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69" fillId="0" borderId="4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71" fillId="0" borderId="4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73" fillId="0" borderId="4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75" fillId="0" borderId="4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77" fillId="0" borderId="4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79" fillId="0" borderId="4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81" fillId="0" borderId="4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83" fillId="0" borderId="4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85" fillId="0" borderId="4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87" fillId="0" borderId="4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89" fillId="0" borderId="4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91" fillId="0" borderId="4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93" fillId="0" borderId="4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95" fillId="0" borderId="4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97" fillId="0" borderId="4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9" fillId="0" borderId="4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1" fillId="0" borderId="4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3" fillId="0" borderId="4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5" fillId="0" borderId="4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7" fillId="0" borderId="4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9" fillId="0" borderId="4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1" fillId="0" borderId="4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3" fillId="0" borderId="4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5" fillId="0" borderId="4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7" fillId="0" borderId="4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9" fillId="0" borderId="4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1" fillId="0" borderId="4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3" fillId="0" borderId="4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5" fillId="0" borderId="4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7" fillId="0" borderId="4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9" fillId="0" borderId="4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1" fillId="0" borderId="4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33" fillId="0" borderId="4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35" fillId="0" borderId="4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37" fillId="0" borderId="4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39" fillId="0" borderId="4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1" fillId="0" borderId="4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3" fillId="0" borderId="4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5" fillId="0" borderId="4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7" fillId="0" borderId="4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9" fillId="0" borderId="4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1" fillId="0" borderId="4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3" fillId="0" borderId="4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5" fillId="0" borderId="4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7" fillId="0" borderId="4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9" fillId="0" borderId="4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1" fillId="0" borderId="4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3" fillId="0" borderId="4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5" fillId="0" borderId="4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7" fillId="0" borderId="4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9" fillId="0" borderId="4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1" fillId="0" borderId="4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73" fillId="0" borderId="4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5" fillId="0" borderId="4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7" fillId="0" borderId="4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9" fillId="0" borderId="4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81" fillId="0" borderId="4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3" fillId="0" borderId="4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5" fillId="0" borderId="4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7" fillId="0" borderId="4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89" fillId="0" borderId="4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1" fillId="0" borderId="4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2" fillId="0" borderId="44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93" fillId="0" borderId="44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94" fillId="0" borderId="44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95" fillId="0" borderId="44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96" fillId="0" borderId="44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97" fillId="0" borderId="44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98" fillId="0" borderId="44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99" fillId="0" borderId="44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00" fillId="0" borderId="44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01" fillId="0" borderId="44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02" fillId="0" borderId="44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03" fillId="0" borderId="44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04" fillId="0" borderId="44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05" fillId="0" borderId="44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06" fillId="0" borderId="44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07" fillId="0" borderId="44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08" fillId="0" borderId="44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09" fillId="0" borderId="44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10" fillId="0" borderId="44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11" fillId="0" borderId="44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12" fillId="0" borderId="44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13" fillId="0" borderId="44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14" fillId="0" borderId="44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15" fillId="0" borderId="44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16" fillId="0" borderId="44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17" fillId="0" borderId="44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18" fillId="0" borderId="44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19" fillId="0" borderId="44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20" fillId="0" borderId="44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21" fillId="0" borderId="44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22" fillId="0" borderId="44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23" fillId="0" borderId="44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24" fillId="0" borderId="44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25" fillId="0" borderId="44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26" fillId="0" borderId="44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27" fillId="0" borderId="44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28" fillId="0" borderId="44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29" fillId="0" borderId="44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30" fillId="0" borderId="44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31" fillId="0" borderId="44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32" fillId="0" borderId="44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33" fillId="0" borderId="44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34" fillId="0" borderId="44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35" fillId="0" borderId="44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36" fillId="0" borderId="44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37" fillId="0" borderId="44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38" fillId="0" borderId="44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39" fillId="0" borderId="44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40" fillId="0" borderId="44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41" fillId="0" borderId="44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42" fillId="0" borderId="44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43" fillId="0" borderId="44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44" fillId="0" borderId="44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45" fillId="0" borderId="44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46" fillId="0" borderId="44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47" fillId="0" borderId="44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48" fillId="0" borderId="44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49" fillId="0" borderId="44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50" fillId="0" borderId="44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51" fillId="0" borderId="44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52" fillId="0" borderId="44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53" fillId="0" borderId="44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54" fillId="0" borderId="44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55" fillId="0" borderId="44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56" fillId="0" borderId="44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57" fillId="0" borderId="44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58" fillId="0" borderId="44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59" fillId="0" borderId="44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60" fillId="0" borderId="44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61" fillId="0" borderId="44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62" fillId="0" borderId="44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63" fillId="0" borderId="44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64" fillId="0" borderId="44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65" fillId="0" borderId="44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66" fillId="0" borderId="44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67" fillId="0" borderId="44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68" fillId="0" borderId="44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69" fillId="0" borderId="44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70" fillId="0" borderId="44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71" fillId="0" borderId="44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72" fillId="0" borderId="44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73" fillId="0" borderId="44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74" fillId="0" borderId="44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75" fillId="0" borderId="44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76" fillId="0" borderId="44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77" fillId="0" borderId="45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78" fillId="0" borderId="45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79" fillId="0" borderId="45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80" fillId="0" borderId="45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81" fillId="0" borderId="45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82" fillId="0" borderId="45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83" fillId="0" borderId="45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84" fillId="0" borderId="45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85" fillId="0" borderId="45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86" fillId="0" borderId="45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87" fillId="0" borderId="45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88" fillId="0" borderId="45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89" fillId="0" borderId="45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90" fillId="0" borderId="45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91" fillId="0" borderId="45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92" fillId="0" borderId="45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93" fillId="0" borderId="45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94" fillId="0" borderId="45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95" fillId="0" borderId="45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96" fillId="0" borderId="45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97" fillId="0" borderId="45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98" fillId="0" borderId="45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99" fillId="0" borderId="45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00" fillId="0" borderId="45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01" fillId="0" borderId="45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02" fillId="0" borderId="45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03" fillId="0" borderId="45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04" fillId="0" borderId="45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05" fillId="0" borderId="45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06" fillId="0" borderId="45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07" fillId="0" borderId="45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08" fillId="0" borderId="45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09" fillId="0" borderId="45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10" fillId="0" borderId="45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11" fillId="0" borderId="45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12" fillId="0" borderId="45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13" fillId="0" borderId="45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14" fillId="0" borderId="45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15" fillId="0" borderId="45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16" fillId="0" borderId="45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17" fillId="0" borderId="45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18" fillId="0" borderId="45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19" fillId="0" borderId="45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20" fillId="0" borderId="45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21" fillId="0" borderId="45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22" fillId="0" borderId="45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23" fillId="0" borderId="45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24" fillId="0" borderId="45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25" fillId="0" borderId="45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26" fillId="0" borderId="45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27" fillId="0" borderId="45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28" fillId="0" borderId="45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29" fillId="0" borderId="45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30" fillId="0" borderId="45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31" fillId="0" borderId="45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32" fillId="0" borderId="45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33" fillId="0" borderId="45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34" fillId="0" borderId="45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35" fillId="0" borderId="45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36" fillId="0" borderId="45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137" fillId="0" borderId="456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138" fillId="0" borderId="45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139" fillId="0" borderId="45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40" fillId="0" borderId="45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141" fillId="0" borderId="456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142" fillId="0" borderId="45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143" fillId="0" borderId="45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44" fillId="0" borderId="45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145" fillId="0" borderId="456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146" fillId="0" borderId="45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147" fillId="0" borderId="45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48" fillId="0" borderId="45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149" fillId="0" borderId="457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150" fillId="0" borderId="45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151" fillId="0" borderId="45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52" fillId="0" borderId="45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153" fillId="0" borderId="457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154" fillId="0" borderId="45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155" fillId="0" borderId="45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56" fillId="0" borderId="45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157" fillId="0" borderId="458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158" fillId="0" borderId="45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159" fillId="0" borderId="45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60" fillId="0" borderId="45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161" fillId="0" borderId="458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162" fillId="0" borderId="45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163" fillId="0" borderId="45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64" fillId="0" borderId="45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165" fillId="0" borderId="458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166" fillId="0" borderId="45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167" fillId="0" borderId="45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68" fillId="0" borderId="45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169" fillId="0" borderId="459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170" fillId="0" borderId="45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171" fillId="0" borderId="45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72" fillId="0" borderId="45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173" fillId="0" borderId="459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174" fillId="0" borderId="45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175" fillId="0" borderId="45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76" fillId="0" borderId="45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177" fillId="0" borderId="460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178" fillId="0" borderId="46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179" fillId="0" borderId="46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80" fillId="0" borderId="46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181" fillId="0" borderId="460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182" fillId="0" borderId="46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183" fillId="0" borderId="46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84" fillId="0" borderId="46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185" fillId="0" borderId="460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186" fillId="0" borderId="46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187" fillId="0" borderId="46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88" fillId="0" borderId="46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189" fillId="0" borderId="461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190" fillId="0" borderId="46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191" fillId="0" borderId="46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92" fillId="0" borderId="46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193" fillId="0" borderId="461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194" fillId="0" borderId="46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195" fillId="0" borderId="46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96" fillId="0" borderId="46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197" fillId="0" borderId="462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198" fillId="0" borderId="46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199" fillId="0" borderId="46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00" fillId="0" borderId="46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01" fillId="0" borderId="46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02" fillId="0" borderId="46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03" fillId="0" borderId="46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04" fillId="0" borderId="46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05" fillId="0" borderId="46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06" fillId="0" borderId="46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07" fillId="0" borderId="46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08" fillId="0" borderId="46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09" fillId="0" borderId="46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10" fillId="0" borderId="46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11" fillId="0" borderId="46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12" fillId="0" borderId="46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13" fillId="0" borderId="46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14" fillId="0" borderId="46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15" fillId="0" borderId="46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16" fillId="0" borderId="46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17" fillId="0" borderId="46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18" fillId="0" borderId="46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19" fillId="0" borderId="46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20" fillId="0" borderId="46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21" fillId="0" borderId="46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22" fillId="0" borderId="46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23" fillId="0" borderId="46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24" fillId="0" borderId="46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25" fillId="0" borderId="46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26" fillId="0" borderId="46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27" fillId="0" borderId="46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28" fillId="0" borderId="46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29" fillId="0" borderId="46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30" fillId="0" borderId="46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31" fillId="0" borderId="46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32" fillId="0" borderId="46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33" fillId="0" borderId="46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34" fillId="0" borderId="46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35" fillId="0" borderId="46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36" fillId="0" borderId="46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37" fillId="0" borderId="46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38" fillId="0" borderId="46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39" fillId="0" borderId="46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40" fillId="0" borderId="46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41" fillId="0" borderId="46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42" fillId="0" borderId="46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43" fillId="0" borderId="46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44" fillId="0" borderId="46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45" fillId="0" borderId="46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46" fillId="0" borderId="46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47" fillId="0" borderId="46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48" fillId="0" borderId="46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49" fillId="0" borderId="46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50" fillId="0" borderId="46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51" fillId="0" borderId="46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52" fillId="0" borderId="46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53" fillId="0" borderId="46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54" fillId="0" borderId="46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55" fillId="0" borderId="46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56" fillId="0" borderId="46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57" fillId="0" borderId="46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58" fillId="0" borderId="46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59" fillId="0" borderId="46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60" fillId="0" borderId="46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61" fillId="0" borderId="46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62" fillId="0" borderId="46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63" fillId="0" borderId="46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64" fillId="0" borderId="46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265" fillId="0" borderId="46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66" fillId="0" borderId="46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67" fillId="0" borderId="46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68" fillId="0" borderId="46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269" fillId="0" borderId="46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70" fillId="0" borderId="46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71" fillId="0" borderId="46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72" fillId="0" borderId="46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273" fillId="0" borderId="46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74" fillId="0" borderId="46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75" fillId="0" borderId="46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76" fillId="0" borderId="46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277" fillId="0" borderId="47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78" fillId="0" borderId="47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79" fillId="0" borderId="47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81" fillId="0" borderId="4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2" fillId="0" borderId="4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3" fillId="0" borderId="4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4" fillId="0" borderId="4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5" fillId="0" borderId="4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6" fillId="0" borderId="4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7" fillId="0" borderId="4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8" fillId="0" borderId="4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9" fillId="0" borderId="4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712" xfId="0"/>
    <xf numFmtId="0" fontId="6290" fillId="0" borderId="4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92" fillId="0" borderId="4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715" xfId="0"/>
    <xf numFmtId="0" fontId="6293" fillId="0" borderId="4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95" fillId="0" borderId="4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718" xfId="0"/>
    <xf numFmtId="0" fontId="6296" fillId="0" borderId="4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720" xfId="0"/>
    <xf numFmtId="0" fontId="6297" fillId="0" borderId="4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98" fillId="0" borderId="4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99" fillId="0" borderId="4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00" fillId="0" borderId="4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1" fillId="0" borderId="47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02" fillId="0" borderId="4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3" fillId="0" borderId="47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04" fillId="0" borderId="4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5" fillId="0" borderId="4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06" fillId="0" borderId="4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7" fillId="0" borderId="47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308" fillId="0" borderId="4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9" fillId="0" borderId="4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310" fillId="0" borderId="4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311" fillId="0" borderId="4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12" fillId="0" borderId="4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3" fillId="0" borderId="4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4" fillId="0" borderId="4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315" fillId="0" borderId="4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316" fillId="0" borderId="4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17" fillId="0" borderId="4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8" fillId="0" borderId="4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9" fillId="0" borderId="4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320" fillId="0" borderId="4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321" fillId="0" borderId="4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22" fillId="0" borderId="4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3" fillId="0" borderId="4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4" fillId="0" borderId="4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5" fillId="0" borderId="4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6" fillId="0" borderId="4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7" fillId="0" borderId="4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8" fillId="0" borderId="4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9" fillId="0" borderId="4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0" fillId="0" borderId="4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755" xfId="0"/>
    <xf numFmtId="0" fontId="0" fillId="0" borderId="4756" xfId="0"/>
    <xf numFmtId="0" fontId="6331" fillId="0" borderId="4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32" fillId="0" borderId="4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759" xfId="0"/>
    <xf numFmtId="0" fontId="0" fillId="0" borderId="4760" xfId="0"/>
    <xf numFmtId="0" fontId="6333" fillId="0" borderId="4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34" fillId="0" borderId="4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763" xfId="0"/>
    <xf numFmtId="0" fontId="0" fillId="0" borderId="4764" xfId="0"/>
    <xf numFmtId="0" fontId="6335" fillId="0" borderId="4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36" fillId="0" borderId="4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767" xfId="0"/>
    <xf numFmtId="0" fontId="0" fillId="0" borderId="4768" xfId="0"/>
    <xf numFmtId="0" fontId="6337" fillId="0" borderId="4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770" xfId="0"/>
    <xf numFmtId="0" fontId="0" fillId="0" borderId="4771" xfId="0"/>
    <xf numFmtId="166" fontId="6338" fillId="0" borderId="4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9" fillId="0" borderId="4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40" fillId="0" borderId="4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1" fillId="0" borderId="4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42" fillId="0" borderId="4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3" fillId="0" borderId="4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4" fillId="0" borderId="4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5" fillId="0" borderId="4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6" fillId="0" borderId="4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7" fillId="0" borderId="4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8" fillId="0" borderId="4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9" fillId="0" borderId="4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350" fillId="0" borderId="4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351" fillId="0" borderId="4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52" fillId="0" borderId="4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3" fillId="0" borderId="4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4" fillId="0" borderId="4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355" fillId="0" borderId="4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356" fillId="0" borderId="4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57" fillId="0" borderId="4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8" fillId="0" borderId="4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9" fillId="0" borderId="4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360" fillId="0" borderId="4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361" fillId="0" borderId="4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62" fillId="0" borderId="4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3" fillId="0" borderId="4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364" fillId="0" borderId="4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5" fillId="0" borderId="4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67" fillId="0" borderId="4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8" fillId="0" borderId="4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9" fillId="0" borderId="4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0" fillId="0" borderId="4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1" fillId="0" borderId="4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2" fillId="0" borderId="4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3" fillId="0" borderId="4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4" fillId="0" borderId="4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5" fillId="0" borderId="4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809" xfId="0"/>
    <xf numFmtId="0" fontId="6376" fillId="0" borderId="4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78" fillId="0" borderId="4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812" xfId="0"/>
    <xf numFmtId="0" fontId="6379" fillId="0" borderId="4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81" fillId="0" borderId="4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815" xfId="0"/>
    <xf numFmtId="0" fontId="6382" fillId="0" borderId="48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817" xfId="0"/>
    <xf numFmtId="0" fontId="6383" fillId="0" borderId="4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84" fillId="0" borderId="4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85" fillId="0" borderId="48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86" fillId="0" borderId="4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7" fillId="0" borderId="4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88" fillId="0" borderId="4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9" fillId="0" borderId="4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90" fillId="0" borderId="4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1" fillId="0" borderId="4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92" fillId="0" borderId="4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3" fillId="0" borderId="4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394" fillId="0" borderId="4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5" fillId="0" borderId="4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396" fillId="0" borderId="4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397" fillId="0" borderId="4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98" fillId="0" borderId="4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9" fillId="0" borderId="4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0" fillId="0" borderId="4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401" fillId="0" borderId="4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402" fillId="0" borderId="4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03" fillId="0" borderId="4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4" fillId="0" borderId="4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5" fillId="0" borderId="4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406" fillId="0" borderId="4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407" fillId="0" borderId="4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08" fillId="0" borderId="4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9" fillId="0" borderId="4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0" fillId="0" borderId="4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1" fillId="0" borderId="4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2" fillId="0" borderId="4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3" fillId="0" borderId="4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4" fillId="0" borderId="4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5" fillId="0" borderId="4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6" fillId="0" borderId="4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852" xfId="0"/>
    <xf numFmtId="0" fontId="0" fillId="0" borderId="4853" xfId="0"/>
    <xf numFmtId="0" fontId="6417" fillId="0" borderId="4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18" fillId="0" borderId="4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856" xfId="0"/>
    <xf numFmtId="0" fontId="0" fillId="0" borderId="4857" xfId="0"/>
    <xf numFmtId="0" fontId="6419" fillId="0" borderId="4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20" fillId="0" borderId="4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860" xfId="0"/>
    <xf numFmtId="0" fontId="0" fillId="0" borderId="4861" xfId="0"/>
    <xf numFmtId="0" fontId="6421" fillId="0" borderId="4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22" fillId="0" borderId="4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864" xfId="0"/>
    <xf numFmtId="0" fontId="0" fillId="0" borderId="4865" xfId="0"/>
    <xf numFmtId="0" fontId="6423" fillId="0" borderId="4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867" xfId="0"/>
    <xf numFmtId="0" fontId="0" fillId="0" borderId="4868" xfId="0"/>
    <xf numFmtId="166" fontId="6424" fillId="0" borderId="4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5" fillId="0" borderId="4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26" fillId="0" borderId="4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7" fillId="0" borderId="4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28" fillId="0" borderId="4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9" fillId="0" borderId="4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0" fillId="0" borderId="4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1" fillId="0" borderId="4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2" fillId="0" borderId="4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3" fillId="0" borderId="4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4" fillId="0" borderId="4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5" fillId="0" borderId="4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436" fillId="0" borderId="4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437" fillId="0" borderId="4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38" fillId="0" borderId="4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9" fillId="0" borderId="4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0" fillId="0" borderId="4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441" fillId="0" borderId="4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442" fillId="0" borderId="4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43" fillId="0" borderId="4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4" fillId="0" borderId="4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5" fillId="0" borderId="4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446" fillId="0" borderId="4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447" fillId="0" borderId="4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48" fillId="0" borderId="4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9" fillId="0" borderId="48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450" fillId="0" borderId="4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1" fillId="0" borderId="4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52" fillId="0" borderId="4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3" fillId="0" borderId="4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54" fillId="0" borderId="4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5" fillId="0" borderId="4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6" fillId="0" borderId="4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7" fillId="0" borderId="49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58" fillId="0" borderId="4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9" fillId="0" borderId="4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1" fillId="0" borderId="4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2" fillId="0" borderId="4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3" fillId="0" borderId="4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4" fillId="0" borderId="4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5" fillId="0" borderId="4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6" fillId="0" borderId="4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7" fillId="0" borderId="4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8" fillId="0" borderId="4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9" fillId="0" borderId="4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914" xfId="0"/>
    <xf numFmtId="0" fontId="6470" fillId="0" borderId="4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72" fillId="0" borderId="49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917" xfId="0"/>
    <xf numFmtId="0" fontId="6473" fillId="0" borderId="4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75" fillId="0" borderId="4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920" xfId="0"/>
    <xf numFmtId="0" fontId="6476" fillId="0" borderId="4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922" xfId="0"/>
    <xf numFmtId="0" fontId="6477" fillId="0" borderId="4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78" fillId="0" borderId="49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79" fillId="0" borderId="49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80" fillId="0" borderId="4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1" fillId="0" borderId="4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82" fillId="0" borderId="4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3" fillId="0" borderId="4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84" fillId="0" borderId="4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5" fillId="0" borderId="4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86" fillId="0" borderId="4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7" fillId="0" borderId="4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488" fillId="0" borderId="4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9" fillId="0" borderId="4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490" fillId="0" borderId="4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491" fillId="0" borderId="4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92" fillId="0" borderId="4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3" fillId="0" borderId="4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4" fillId="0" borderId="4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495" fillId="0" borderId="4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496" fillId="0" borderId="4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97" fillId="0" borderId="4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8" fillId="0" borderId="4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9" fillId="0" borderId="4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500" fillId="0" borderId="4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501" fillId="0" borderId="49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02" fillId="0" borderId="4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3" fillId="0" borderId="4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4" fillId="0" borderId="4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5" fillId="0" borderId="4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6" fillId="0" borderId="4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7" fillId="0" borderId="4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8" fillId="0" borderId="4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9" fillId="0" borderId="4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0" fillId="0" borderId="4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957" xfId="0"/>
    <xf numFmtId="0" fontId="0" fillId="0" borderId="4958" xfId="0"/>
    <xf numFmtId="0" fontId="6511" fillId="0" borderId="49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12" fillId="0" borderId="4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961" xfId="0"/>
    <xf numFmtId="0" fontId="0" fillId="0" borderId="4962" xfId="0"/>
    <xf numFmtId="0" fontId="6513" fillId="0" borderId="4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14" fillId="0" borderId="4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965" xfId="0"/>
    <xf numFmtId="0" fontId="0" fillId="0" borderId="4966" xfId="0"/>
    <xf numFmtId="0" fontId="6515" fillId="0" borderId="4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16" fillId="0" borderId="49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969" xfId="0"/>
    <xf numFmtId="0" fontId="0" fillId="0" borderId="4970" xfId="0"/>
    <xf numFmtId="0" fontId="6517" fillId="0" borderId="4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972" xfId="0"/>
    <xf numFmtId="0" fontId="0" fillId="0" borderId="4973" xfId="0"/>
    <xf numFmtId="166" fontId="6518" fillId="0" borderId="4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9" fillId="0" borderId="4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20" fillId="0" borderId="4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1" fillId="0" borderId="4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22" fillId="0" borderId="4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3" fillId="0" borderId="4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4" fillId="0" borderId="4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5" fillId="0" borderId="4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6" fillId="0" borderId="4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7" fillId="0" borderId="4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8" fillId="0" borderId="4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9" fillId="0" borderId="4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530" fillId="0" borderId="4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531" fillId="0" borderId="4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32" fillId="0" borderId="4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3" fillId="0" borderId="4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4" fillId="0" borderId="4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535" fillId="0" borderId="4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536" fillId="0" borderId="4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37" fillId="0" borderId="4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8" fillId="0" borderId="4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9" fillId="0" borderId="4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540" fillId="0" borderId="4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541" fillId="0" borderId="49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42" fillId="0" borderId="4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3" fillId="0" borderId="4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544" fillId="0" borderId="5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5" fillId="0" borderId="5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46" fillId="0" borderId="5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48" fillId="0" borderId="5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49" fillId="0" borderId="5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51" fillId="0" borderId="5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3" fillId="0" borderId="5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5" fillId="0" borderId="5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7" fillId="0" borderId="5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9" fillId="0" borderId="5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1" fillId="0" borderId="5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3" fillId="0" borderId="5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5" fillId="0" borderId="5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7" fillId="0" borderId="5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9" fillId="0" borderId="5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1" fillId="0" borderId="5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3" fillId="0" borderId="5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5" fillId="0" borderId="5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7" fillId="0" borderId="5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9" fillId="0" borderId="5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1" fillId="0" borderId="5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3" fillId="0" borderId="5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85" fillId="0" borderId="5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7" fillId="0" borderId="5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9" fillId="0" borderId="5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1" fillId="0" borderId="5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3" fillId="0" borderId="5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5" fillId="0" borderId="5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7" fillId="0" borderId="5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9" fillId="0" borderId="5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1" fillId="0" borderId="5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3" fillId="0" borderId="5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5" fillId="0" borderId="5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7" fillId="0" borderId="5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9" fillId="0" borderId="5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1" fillId="0" borderId="5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3" fillId="0" borderId="5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5" fillId="0" borderId="5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7" fillId="0" borderId="5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9" fillId="0" borderId="5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1" fillId="0" borderId="5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3" fillId="0" borderId="5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5" fillId="0" borderId="5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7" fillId="0" borderId="5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9" fillId="0" borderId="5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1" fillId="0" borderId="5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3" fillId="0" borderId="5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35" fillId="0" borderId="5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7" fillId="0" borderId="5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9" fillId="0" borderId="5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1" fillId="0" borderId="5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43" fillId="0" borderId="5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5" fillId="0" borderId="5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7" fillId="0" borderId="5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9" fillId="0" borderId="5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51" fillId="0" borderId="5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3" fillId="0" borderId="5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55" fillId="0" borderId="5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7" fillId="0" borderId="50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59" fillId="0" borderId="5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1" fillId="0" borderId="5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63" fillId="0" borderId="5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5" fillId="0" borderId="5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67" fillId="0" borderId="5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669" fillId="0" borderId="50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71" fillId="0" borderId="5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3" fillId="0" borderId="5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75" fillId="0" borderId="5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677" fillId="0" borderId="5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79" fillId="0" borderId="5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1" fillId="0" borderId="5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3" fillId="0" borderId="5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5" fillId="0" borderId="5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7" fillId="0" borderId="5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9" fillId="0" borderId="5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1" fillId="0" borderId="5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3" fillId="0" borderId="5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5" fillId="0" borderId="5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7" fillId="0" borderId="5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99" fillId="0" borderId="5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701" fillId="0" borderId="50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3" fillId="0" borderId="5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5" fillId="0" borderId="5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07" fillId="0" borderId="5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709" fillId="0" borderId="50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11" fillId="0" borderId="5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3" fillId="0" borderId="5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5" fillId="0" borderId="5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7" fillId="0" borderId="5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9" fillId="0" borderId="5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1" fillId="0" borderId="5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3" fillId="0" borderId="5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5" fillId="0" borderId="5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7" fillId="0" borderId="5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9" fillId="0" borderId="5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31" fillId="0" borderId="5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733" fillId="0" borderId="50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5" fillId="0" borderId="5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7" fillId="0" borderId="5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39" fillId="0" borderId="5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741" fillId="0" borderId="5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3" fillId="0" borderId="5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5" fillId="0" borderId="5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7" fillId="0" borderId="5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9" fillId="0" borderId="5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1" fillId="0" borderId="5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3" fillId="0" borderId="5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5" fillId="0" borderId="5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7" fillId="0" borderId="5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9" fillId="0" borderId="5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1" fillId="0" borderId="5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3" fillId="0" borderId="5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5" fillId="0" borderId="5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7" fillId="0" borderId="5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9" fillId="0" borderId="5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1" fillId="0" borderId="5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3" fillId="0" borderId="5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5" fillId="0" borderId="5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7" fillId="0" borderId="5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9" fillId="0" borderId="5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1" fillId="0" borderId="5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3" fillId="0" borderId="5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5" fillId="0" borderId="5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87" fillId="0" borderId="5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9" fillId="0" borderId="5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1" fillId="0" borderId="5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3" fillId="0" borderId="5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5" fillId="0" borderId="5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7" fillId="0" borderId="5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9" fillId="0" borderId="5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1" fillId="0" borderId="5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3" fillId="0" borderId="5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5" fillId="0" borderId="5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7" fillId="0" borderId="5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9" fillId="0" borderId="5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11" fillId="0" borderId="5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3" fillId="0" borderId="5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5" fillId="0" borderId="5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7" fillId="0" borderId="5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19" fillId="0" borderId="5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1" fillId="0" borderId="5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3" fillId="0" borderId="5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5" fillId="0" borderId="5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7" fillId="0" borderId="5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9" fillId="0" borderId="5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1" fillId="0" borderId="5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3" fillId="0" borderId="5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35" fillId="0" borderId="5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7" fillId="0" borderId="5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9" fillId="0" borderId="5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1" fillId="0" borderId="5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3" fillId="0" borderId="5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5" fillId="0" borderId="5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7" fillId="0" borderId="5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9" fillId="0" borderId="5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1" fillId="0" borderId="5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3" fillId="0" borderId="5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5" fillId="0" borderId="5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7" fillId="0" borderId="5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9" fillId="0" borderId="5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1" fillId="0" borderId="5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3" fillId="0" borderId="5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5" fillId="0" borderId="5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7" fillId="0" borderId="5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9" fillId="0" borderId="5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1" fillId="0" borderId="5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3" fillId="0" borderId="5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5" fillId="0" borderId="5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7" fillId="0" borderId="5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9" fillId="0" borderId="5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1" fillId="0" borderId="5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3" fillId="0" borderId="5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5" fillId="0" borderId="5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7" fillId="0" borderId="5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9" fillId="0" borderId="5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91" fillId="0" borderId="5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3" fillId="0" borderId="5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5" fillId="0" borderId="5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7" fillId="0" borderId="5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99" fillId="0" borderId="5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1" fillId="0" borderId="5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3" fillId="0" borderId="5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5" fillId="0" borderId="5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07" fillId="0" borderId="5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9" fillId="0" borderId="5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11" fillId="0" borderId="5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3" fillId="0" borderId="5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15" fillId="0" borderId="5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7" fillId="0" borderId="5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19" fillId="0" borderId="5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1" fillId="0" borderId="5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3" fillId="0" borderId="5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925" fillId="0" borderId="5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27" fillId="0" borderId="5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9" fillId="0" borderId="5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1" fillId="0" borderId="5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933" fillId="0" borderId="5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35" fillId="0" borderId="5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7" fillId="0" borderId="5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9" fillId="0" borderId="5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1" fillId="0" borderId="5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3" fillId="0" borderId="5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5" fillId="0" borderId="5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7" fillId="0" borderId="5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9" fillId="0" borderId="5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1" fillId="0" borderId="5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3" fillId="0" borderId="5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5" fillId="0" borderId="5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957" fillId="0" borderId="5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59" fillId="0" borderId="5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1" fillId="0" borderId="5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3" fillId="0" borderId="5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965" fillId="0" borderId="5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67" fillId="0" borderId="5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9" fillId="0" borderId="5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1" fillId="0" borderId="5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3" fillId="0" borderId="5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5" fillId="0" borderId="5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7" fillId="0" borderId="5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9" fillId="0" borderId="5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1" fillId="0" borderId="5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3" fillId="0" borderId="5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5" fillId="0" borderId="5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7" fillId="0" borderId="5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989" fillId="0" borderId="5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91" fillId="0" borderId="5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3" fillId="0" borderId="5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5" fillId="0" borderId="5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997" fillId="0" borderId="5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99" fillId="0" borderId="5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1" fillId="0" borderId="5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3" fillId="0" borderId="5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5" fillId="0" borderId="5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7" fillId="0" borderId="5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9" fillId="0" borderId="5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1" fillId="0" borderId="5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3" fillId="0" borderId="5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5" fillId="0" borderId="5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7" fillId="0" borderId="5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19" fillId="0" borderId="5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1" fillId="0" borderId="5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3" fillId="0" borderId="5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5" fillId="0" borderId="5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27" fillId="0" borderId="5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9" fillId="0" borderId="5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1" fillId="0" borderId="5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3" fillId="0" borderId="5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35" fillId="0" borderId="5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7" fillId="0" borderId="5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9" fillId="0" borderId="5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1" fillId="0" borderId="5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43" fillId="0" borderId="5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5" fillId="0" borderId="5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7" fillId="0" borderId="5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9" fillId="0" borderId="5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51" fillId="0" borderId="5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3" fillId="0" borderId="5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5" fillId="0" borderId="5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7" fillId="0" borderId="5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59" fillId="0" borderId="5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1" fillId="0" borderId="5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3" fillId="0" borderId="5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5" fillId="0" borderId="5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67" fillId="0" borderId="5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9" fillId="0" borderId="5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1" fillId="0" borderId="5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3" fillId="0" borderId="5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75" fillId="0" borderId="5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7" fillId="0" borderId="5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9" fillId="0" borderId="5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1" fillId="0" borderId="5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83" fillId="0" borderId="5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5" fillId="0" borderId="5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7" fillId="0" borderId="5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9" fillId="0" borderId="5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91" fillId="0" borderId="5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3" fillId="0" borderId="5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5" fillId="0" borderId="5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7" fillId="0" borderId="5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9" fillId="0" borderId="5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1" fillId="0" borderId="5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3" fillId="0" borderId="5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5" fillId="0" borderId="5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7" fillId="0" borderId="5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9" fillId="0" borderId="5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1" fillId="0" borderId="5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3" fillId="0" borderId="5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5" fillId="0" borderId="5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7" fillId="0" borderId="5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9" fillId="0" borderId="5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1" fillId="0" borderId="5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3" fillId="0" borderId="5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5" fillId="0" borderId="5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7" fillId="0" borderId="5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9" fillId="0" borderId="5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1" fillId="0" borderId="5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3" fillId="0" borderId="5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5" fillId="0" borderId="5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7" fillId="0" borderId="5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9" fillId="0" borderId="5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1" fillId="0" borderId="5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3" fillId="0" borderId="5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5" fillId="0" borderId="5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47" fillId="0" borderId="5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9" fillId="0" borderId="5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1" fillId="0" borderId="5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3" fillId="0" borderId="5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55" fillId="0" borderId="5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7" fillId="0" borderId="5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9" fillId="0" borderId="5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1" fillId="0" borderId="5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63" fillId="0" borderId="5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5" fillId="0" borderId="5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67" fillId="0" borderId="5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9" fillId="0" borderId="5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71" fillId="0" borderId="5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3" fillId="0" borderId="5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75" fillId="0" borderId="5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7" fillId="0" borderId="5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79" fillId="0" borderId="5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181" fillId="0" borderId="5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83" fillId="0" borderId="5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5" fillId="0" borderId="5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87" fillId="0" borderId="5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189" fillId="0" borderId="5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91" fillId="0" borderId="5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3" fillId="0" borderId="5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5" fillId="0" borderId="5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7" fillId="0" borderId="5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9" fillId="0" borderId="5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1" fillId="0" borderId="5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3" fillId="0" borderId="5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5" fillId="0" borderId="5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7" fillId="0" borderId="5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9" fillId="0" borderId="5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11" fillId="0" borderId="5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213" fillId="0" borderId="5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15" fillId="0" borderId="5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7" fillId="0" borderId="5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19" fillId="0" borderId="5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221" fillId="0" borderId="5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23" fillId="0" borderId="5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5" fillId="0" borderId="5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7" fillId="0" borderId="5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9" fillId="0" borderId="5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1" fillId="0" borderId="5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3" fillId="0" borderId="5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5" fillId="0" borderId="5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7" fillId="0" borderId="5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9" fillId="0" borderId="5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1" fillId="0" borderId="5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43" fillId="0" borderId="5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245" fillId="0" borderId="5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47" fillId="0" borderId="5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9" fillId="0" borderId="5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51" fillId="0" borderId="5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253" fillId="0" borderId="5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55" fillId="0" borderId="5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7" fillId="0" borderId="5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9" fillId="0" borderId="5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1" fillId="0" borderId="5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3" fillId="0" borderId="5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5" fillId="0" borderId="5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7" fillId="0" borderId="5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9" fillId="0" borderId="5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1" fillId="0" borderId="5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3" fillId="0" borderId="5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75" fillId="0" borderId="5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7" fillId="0" borderId="5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9" fillId="0" borderId="5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1" fillId="0" borderId="5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83" fillId="0" borderId="5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5" fillId="0" borderId="5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7" fillId="0" borderId="5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9" fillId="0" borderId="5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91" fillId="0" borderId="5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3" fillId="0" borderId="5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5" fillId="0" borderId="5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7" fillId="0" borderId="5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99" fillId="0" borderId="5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1" fillId="0" borderId="5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3" fillId="0" borderId="5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5" fillId="0" borderId="5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07" fillId="0" borderId="5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9" fillId="0" borderId="5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1" fillId="0" borderId="5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3" fillId="0" borderId="5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15" fillId="0" borderId="5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7" fillId="0" borderId="5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9" fillId="0" borderId="5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1" fillId="0" borderId="5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23" fillId="0" borderId="5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5" fillId="0" borderId="5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7" fillId="0" borderId="5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9" fillId="0" borderId="5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31" fillId="0" borderId="5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3" fillId="0" borderId="5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5" fillId="0" borderId="5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37" fillId="0" borderId="5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39" fillId="0" borderId="5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1" fillId="0" borderId="5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3" fillId="0" borderId="5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5" fillId="0" borderId="5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47" fillId="0" borderId="5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9" fillId="0" borderId="5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0" fillId="0" borderId="54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51" fillId="0" borderId="54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52" fillId="0" borderId="54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53" fillId="0" borderId="54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54" fillId="0" borderId="54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55" fillId="0" borderId="54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56" fillId="0" borderId="54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57" fillId="0" borderId="54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58" fillId="0" borderId="54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59" fillId="0" borderId="54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60" fillId="0" borderId="54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61" fillId="0" borderId="54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62" fillId="0" borderId="54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63" fillId="0" borderId="54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64" fillId="0" borderId="54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65" fillId="0" borderId="54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66" fillId="0" borderId="54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67" fillId="0" borderId="54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68" fillId="0" borderId="54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69" fillId="0" borderId="54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70" fillId="0" borderId="54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71" fillId="0" borderId="54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72" fillId="0" borderId="54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73" fillId="0" borderId="54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74" fillId="0" borderId="54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75" fillId="0" borderId="54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76" fillId="0" borderId="54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77" fillId="0" borderId="54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78" fillId="0" borderId="54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79" fillId="0" borderId="54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80" fillId="0" borderId="54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81" fillId="0" borderId="54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82" fillId="0" borderId="54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83" fillId="0" borderId="54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84" fillId="0" borderId="54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85" fillId="0" borderId="54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86" fillId="0" borderId="54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87" fillId="0" borderId="54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88" fillId="0" borderId="54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89" fillId="0" borderId="54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90" fillId="0" borderId="54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91" fillId="0" borderId="54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92" fillId="0" borderId="54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93" fillId="0" borderId="54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94" fillId="0" borderId="54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95" fillId="0" borderId="54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96" fillId="0" borderId="54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97" fillId="0" borderId="54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98" fillId="0" borderId="54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99" fillId="0" borderId="54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00" fillId="0" borderId="54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01" fillId="0" borderId="54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02" fillId="0" borderId="54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03" fillId="0" borderId="54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04" fillId="0" borderId="54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05" fillId="0" borderId="54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06" fillId="0" borderId="54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407" fillId="0" borderId="546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408" fillId="0" borderId="54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409" fillId="0" borderId="54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10" fillId="0" borderId="54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411" fillId="0" borderId="546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412" fillId="0" borderId="54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413" fillId="0" borderId="54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14" fillId="0" borderId="54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15" fillId="0" borderId="54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16" fillId="0" borderId="54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17" fillId="0" borderId="54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18" fillId="0" borderId="54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19" fillId="0" borderId="54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20" fillId="0" borderId="54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21" fillId="0" borderId="54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22" fillId="0" borderId="54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423" fillId="0" borderId="547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424" fillId="0" borderId="54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425" fillId="0" borderId="54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26" fillId="0" borderId="54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427" fillId="0" borderId="548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428" fillId="0" borderId="54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429" fillId="0" borderId="54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30" fillId="0" borderId="54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31" fillId="0" borderId="54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32" fillId="0" borderId="54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33" fillId="0" borderId="54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34" fillId="0" borderId="54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35" fillId="0" borderId="54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36" fillId="0" borderId="54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37" fillId="0" borderId="54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38" fillId="0" borderId="54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439" fillId="0" borderId="549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440" fillId="0" borderId="54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441" fillId="0" borderId="54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42" fillId="0" borderId="54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443" fillId="0" borderId="549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444" fillId="0" borderId="54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445" fillId="0" borderId="55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46" fillId="0" borderId="55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47" fillId="0" borderId="55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48" fillId="0" borderId="55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49" fillId="0" borderId="55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50" fillId="0" borderId="55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51" fillId="0" borderId="55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52" fillId="0" borderId="55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53" fillId="0" borderId="55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54" fillId="0" borderId="55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55" fillId="0" borderId="55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56" fillId="0" borderId="55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57" fillId="0" borderId="55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58" fillId="0" borderId="55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59" fillId="0" borderId="55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60" fillId="0" borderId="55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61" fillId="0" borderId="55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62" fillId="0" borderId="55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63" fillId="0" borderId="55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64" fillId="0" borderId="55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65" fillId="0" borderId="55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66" fillId="0" borderId="55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67" fillId="0" borderId="55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68" fillId="0" borderId="55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69" fillId="0" borderId="55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70" fillId="0" borderId="55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71" fillId="0" borderId="55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72" fillId="0" borderId="55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73" fillId="0" borderId="55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74" fillId="0" borderId="55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75" fillId="0" borderId="55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76" fillId="0" borderId="55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77" fillId="0" borderId="55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78" fillId="0" borderId="55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79" fillId="0" borderId="55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80" fillId="0" borderId="55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81" fillId="0" borderId="55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82" fillId="0" borderId="55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83" fillId="0" borderId="55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84" fillId="0" borderId="55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85" fillId="0" borderId="55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86" fillId="0" borderId="55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487" fillId="0" borderId="55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88" fillId="0" borderId="55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89" fillId="0" borderId="55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90" fillId="0" borderId="55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491" fillId="0" borderId="55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92" fillId="0" borderId="55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93" fillId="0" borderId="55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94" fillId="0" borderId="55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95" fillId="0" borderId="55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96" fillId="0" borderId="55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97" fillId="0" borderId="55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98" fillId="0" borderId="55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99" fillId="0" borderId="55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00" fillId="0" borderId="55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01" fillId="0" borderId="55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02" fillId="0" borderId="55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03" fillId="0" borderId="55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04" fillId="0" borderId="55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05" fillId="0" borderId="55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06" fillId="0" borderId="55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07" fillId="0" borderId="55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08" fillId="0" borderId="55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09" fillId="0" borderId="55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10" fillId="0" borderId="55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11" fillId="0" borderId="55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12" fillId="0" borderId="55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13" fillId="0" borderId="55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14" fillId="0" borderId="55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15" fillId="0" borderId="55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16" fillId="0" borderId="55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17" fillId="0" borderId="55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18" fillId="0" borderId="55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19" fillId="0" borderId="55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20" fillId="0" borderId="55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21" fillId="0" borderId="55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22" fillId="0" borderId="55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23" fillId="0" borderId="55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24" fillId="0" borderId="55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25" fillId="0" borderId="55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26" fillId="0" borderId="55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27" fillId="0" borderId="55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28" fillId="0" borderId="55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29" fillId="0" borderId="55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30" fillId="0" borderId="55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31" fillId="0" borderId="55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32" fillId="0" borderId="55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33" fillId="0" borderId="55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34" fillId="0" borderId="55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535" fillId="0" borderId="559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536" fillId="0" borderId="55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537" fillId="0" borderId="55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38" fillId="0" borderId="55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539" fillId="0" borderId="559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540" fillId="0" borderId="55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541" fillId="0" borderId="55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42" fillId="0" borderId="55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43" fillId="0" borderId="55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44" fillId="0" borderId="55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45" fillId="0" borderId="56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46" fillId="0" borderId="56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47" fillId="0" borderId="56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48" fillId="0" borderId="56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49" fillId="0" borderId="56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50" fillId="0" borderId="56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551" fillId="0" borderId="560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552" fillId="0" borderId="56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553" fillId="0" borderId="56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54" fillId="0" borderId="56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555" fillId="0" borderId="561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556" fillId="0" borderId="56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557" fillId="0" borderId="56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58" fillId="0" borderId="56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59" fillId="0" borderId="56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60" fillId="0" borderId="56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61" fillId="0" borderId="56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62" fillId="0" borderId="56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63" fillId="0" borderId="56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64" fillId="0" borderId="56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65" fillId="0" borderId="56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66" fillId="0" borderId="56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567" fillId="0" borderId="562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568" fillId="0" borderId="56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569" fillId="0" borderId="56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70" fillId="0" borderId="56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571" fillId="0" borderId="562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572" fillId="0" borderId="56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573" fillId="0" borderId="56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74" fillId="0" borderId="56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75" fillId="0" borderId="56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76" fillId="0" borderId="56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77" fillId="0" borderId="56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78" fillId="0" borderId="56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79" fillId="0" borderId="56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80" fillId="0" borderId="56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81" fillId="0" borderId="56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82" fillId="0" borderId="56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83" fillId="0" borderId="56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84" fillId="0" borderId="56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85" fillId="0" borderId="56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86" fillId="0" borderId="56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87" fillId="0" borderId="56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88" fillId="0" borderId="56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89" fillId="0" borderId="56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90" fillId="0" borderId="56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91" fillId="0" borderId="56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92" fillId="0" borderId="56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93" fillId="0" borderId="56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94" fillId="0" borderId="56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95" fillId="0" borderId="56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96" fillId="0" borderId="56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97" fillId="0" borderId="56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98" fillId="0" borderId="56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99" fillId="0" borderId="56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00" fillId="0" borderId="56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01" fillId="0" borderId="56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02" fillId="0" borderId="56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03" fillId="0" borderId="56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04" fillId="0" borderId="56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05" fillId="0" borderId="56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06" fillId="0" borderId="56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07" fillId="0" borderId="56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08" fillId="0" borderId="56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09" fillId="0" borderId="56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10" fillId="0" borderId="56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11" fillId="0" borderId="56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12" fillId="0" borderId="56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13" fillId="0" borderId="56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14" fillId="0" borderId="56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615" fillId="0" borderId="56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16" fillId="0" borderId="56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17" fillId="0" borderId="56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18" fillId="0" borderId="56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619" fillId="0" borderId="56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20" fillId="0" borderId="56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21" fillId="0" borderId="56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22" fillId="0" borderId="56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23" fillId="0" borderId="56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24" fillId="0" borderId="56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25" fillId="0" borderId="56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26" fillId="0" borderId="56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27" fillId="0" borderId="56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28" fillId="0" borderId="56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29" fillId="0" borderId="56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30" fillId="0" borderId="56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31" fillId="0" borderId="56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32" fillId="0" borderId="56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33" fillId="0" borderId="56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34" fillId="0" borderId="56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35" fillId="0" borderId="56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36" fillId="0" borderId="56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37" fillId="0" borderId="56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38" fillId="0" borderId="56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39" fillId="0" borderId="56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40" fillId="0" borderId="56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41" fillId="0" borderId="56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42" fillId="0" borderId="56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43" fillId="0" borderId="56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44" fillId="0" borderId="56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45" fillId="0" borderId="57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46" fillId="0" borderId="57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47" fillId="0" borderId="57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48" fillId="0" borderId="57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49" fillId="0" borderId="57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50" fillId="0" borderId="57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51" fillId="0" borderId="57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52" fillId="0" borderId="57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53" fillId="0" borderId="57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54" fillId="0" borderId="57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55" fillId="0" borderId="57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56" fillId="0" borderId="57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57" fillId="0" borderId="57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58" fillId="0" borderId="57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59" fillId="0" borderId="57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60" fillId="0" borderId="57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61" fillId="0" borderId="57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62" fillId="0" borderId="57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663" fillId="0" borderId="571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664" fillId="0" borderId="57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665" fillId="0" borderId="57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66" fillId="0" borderId="57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667" fillId="0" borderId="572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668" fillId="0" borderId="57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669" fillId="0" borderId="57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70" fillId="0" borderId="57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71" fillId="0" borderId="57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72" fillId="0" borderId="57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73" fillId="0" borderId="57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74" fillId="0" borderId="57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75" fillId="0" borderId="57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76" fillId="0" borderId="57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77" fillId="0" borderId="57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78" fillId="0" borderId="57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679" fillId="0" borderId="573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680" fillId="0" borderId="57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681" fillId="0" borderId="57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82" fillId="0" borderId="57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683" fillId="0" borderId="573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684" fillId="0" borderId="57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685" fillId="0" borderId="57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86" fillId="0" borderId="57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87" fillId="0" borderId="57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88" fillId="0" borderId="57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89" fillId="0" borderId="57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90" fillId="0" borderId="57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91" fillId="0" borderId="57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92" fillId="0" borderId="57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93" fillId="0" borderId="57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94" fillId="0" borderId="57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695" fillId="0" borderId="575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696" fillId="0" borderId="57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697" fillId="0" borderId="57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98" fillId="0" borderId="57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699" fillId="0" borderId="575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700" fillId="0" borderId="57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701" fillId="0" borderId="57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02" fillId="0" borderId="57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03" fillId="0" borderId="57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04" fillId="0" borderId="57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05" fillId="0" borderId="57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06" fillId="0" borderId="57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07" fillId="0" borderId="57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08" fillId="0" borderId="57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09" fillId="0" borderId="57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10" fillId="0" borderId="57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11" fillId="0" borderId="57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12" fillId="0" borderId="57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13" fillId="0" borderId="57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14" fillId="0" borderId="57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15" fillId="0" borderId="57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16" fillId="0" borderId="57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17" fillId="0" borderId="57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18" fillId="0" borderId="57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19" fillId="0" borderId="57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20" fillId="0" borderId="57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21" fillId="0" borderId="57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22" fillId="0" borderId="57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23" fillId="0" borderId="57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24" fillId="0" borderId="57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25" fillId="0" borderId="57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26" fillId="0" borderId="57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27" fillId="0" borderId="57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28" fillId="0" borderId="57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29" fillId="0" borderId="57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30" fillId="0" borderId="57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31" fillId="0" borderId="57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32" fillId="0" borderId="57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33" fillId="0" borderId="57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34" fillId="0" borderId="57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35" fillId="0" borderId="57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36" fillId="0" borderId="57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37" fillId="0" borderId="57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38" fillId="0" borderId="57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39" fillId="0" borderId="57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40" fillId="0" borderId="57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41" fillId="0" borderId="57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42" fillId="0" borderId="57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743" fillId="0" borderId="57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44" fillId="0" borderId="57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45" fillId="0" borderId="58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46" fillId="0" borderId="58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747" fillId="0" borderId="58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48" fillId="0" borderId="58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49" fillId="0" borderId="58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51" fillId="0" borderId="5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806" xfId="0"/>
    <xf numFmtId="0" fontId="0" fillId="0" borderId="5807" xfId="0" applyBorder="true"/>
    <xf numFmtId="0" fontId="0" fillId="0" borderId="5808" xfId="0"/>
    <xf numFmtId="0" fontId="7753" fillId="0" borderId="5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810" xfId="0"/>
    <xf numFmtId="0" fontId="0" fillId="0" borderId="5811" xfId="0"/>
    <xf numFmtId="0" fontId="0" fillId="0" borderId="5812" xfId="0" applyBorder="true"/>
    <xf numFmtId="0" fontId="7754" fillId="0" borderId="5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5" fillId="0" borderId="5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6" fillId="0" borderId="5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816" xfId="0" applyBorder="true"/>
    <xf numFmtId="0" fontId="0" fillId="0" borderId="5817" xfId="0"/>
    <xf numFmtId="0" fontId="0" fillId="0" borderId="5818" xfId="0"/>
    <xf numFmtId="0" fontId="0" fillId="0" borderId="5819" xfId="0"/>
    <xf numFmtId="0" fontId="0" fillId="0" borderId="5820" xfId="0"/>
    <xf numFmtId="0" fontId="0" fillId="0" borderId="5821" xfId="0"/>
    <xf numFmtId="0" fontId="0" fillId="0" borderId="5822" xfId="0"/>
    <xf numFmtId="0" fontId="0" fillId="0" borderId="5823" xfId="0" applyBorder="true"/>
    <xf numFmtId="0" fontId="7758" fillId="0" borderId="5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825" xfId="0"/>
    <xf numFmtId="0" fontId="0" fillId="0" borderId="5826" xfId="0" applyBorder="true"/>
    <xf numFmtId="0" fontId="0" fillId="0" borderId="5827" xfId="0"/>
    <xf numFmtId="0" fontId="7760" fillId="0" borderId="5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829" xfId="0"/>
    <xf numFmtId="0" fontId="0" fillId="0" borderId="5830" xfId="0"/>
    <xf numFmtId="0" fontId="0" fillId="0" borderId="5831" xfId="0" applyBorder="true"/>
    <xf numFmtId="0" fontId="7761" fillId="0" borderId="5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2" fillId="0" borderId="5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3" fillId="0" borderId="5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835" xfId="0" applyBorder="true"/>
    <xf numFmtId="0" fontId="0" fillId="0" borderId="5836" xfId="0"/>
    <xf numFmtId="0" fontId="0" fillId="0" borderId="5837" xfId="0"/>
    <xf numFmtId="0" fontId="0" fillId="0" borderId="5838" xfId="0"/>
    <xf numFmtId="0" fontId="0" fillId="0" borderId="5839" xfId="0"/>
    <xf numFmtId="0" fontId="0" fillId="0" borderId="5840" xfId="0"/>
    <xf numFmtId="0" fontId="0" fillId="0" borderId="5841" xfId="0"/>
    <xf numFmtId="0" fontId="0" fillId="0" borderId="5842" xfId="0" applyBorder="true"/>
    <xf numFmtId="0" fontId="0" fillId="0" borderId="5843" xfId="0"/>
    <xf numFmtId="0" fontId="7764" fillId="0" borderId="5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66" fillId="0" borderId="5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67" fillId="0" borderId="5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68" fillId="0" borderId="5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69" fillId="0" borderId="5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70" fillId="0" borderId="5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71" fillId="0" borderId="5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72" fillId="0" borderId="5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73" fillId="0" borderId="5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74" fillId="0" borderId="5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75" fillId="0" borderId="5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76" fillId="0" borderId="5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77" fillId="0" borderId="5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78" fillId="0" borderId="5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79" fillId="0" borderId="5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80" fillId="0" borderId="5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81" fillId="0" borderId="5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82" fillId="0" borderId="5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83" fillId="0" borderId="5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84" fillId="0" borderId="5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85" fillId="0" borderId="5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86" fillId="0" borderId="5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87" fillId="0" borderId="5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88" fillId="0" borderId="5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89" fillId="0" borderId="5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90" fillId="0" borderId="5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91" fillId="0" borderId="5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92" fillId="0" borderId="5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93" fillId="0" borderId="5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94" fillId="0" borderId="5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795" fillId="0" borderId="5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96" fillId="0" borderId="5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97" fillId="0" borderId="5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98" fillId="0" borderId="5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99" fillId="0" borderId="5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00" fillId="0" borderId="5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01" fillId="0" borderId="5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02" fillId="0" borderId="5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03" fillId="0" borderId="5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04" fillId="0" borderId="5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05" fillId="0" borderId="5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06" fillId="0" borderId="5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07" fillId="0" borderId="5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08" fillId="0" borderId="5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09" fillId="0" borderId="5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10" fillId="0" borderId="5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811" fillId="0" borderId="5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12" fillId="0" borderId="5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13" fillId="0" borderId="5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14" fillId="0" borderId="5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15" fillId="0" borderId="58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816" fillId="0" borderId="58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817" fillId="0" borderId="5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818" fillId="0" borderId="5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819" fillId="0" borderId="5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20" fillId="0" borderId="5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21" fillId="0" borderId="5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22" fillId="0" borderId="5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23" fillId="0" borderId="59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824" fillId="0" borderId="59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825" fillId="0" borderId="59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826" fillId="0" borderId="59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827" fillId="0" borderId="5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8" fillId="0" borderId="59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829" fillId="0" borderId="5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30" fillId="0" borderId="59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32" fillId="0" borderId="5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4" fillId="0" borderId="5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6" fillId="0" borderId="5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38" fillId="0" borderId="5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0" fillId="0" borderId="5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42" fillId="0" borderId="5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4" fillId="0" borderId="5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46" fillId="0" borderId="5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8" fillId="0" borderId="5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50" fillId="0" borderId="5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2" fillId="0" borderId="5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54" fillId="0" borderId="5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6" fillId="0" borderId="5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58" fillId="0" borderId="5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60" fillId="0" borderId="5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2" fillId="0" borderId="5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4" fillId="0" borderId="5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66" fillId="0" borderId="5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68" fillId="0" borderId="5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0" fillId="0" borderId="5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2" fillId="0" borderId="5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4" fillId="0" borderId="5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6" fillId="0" borderId="5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8" fillId="0" borderId="5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0" fillId="0" borderId="5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2" fillId="0" borderId="5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4" fillId="0" borderId="5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6" fillId="0" borderId="5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8" fillId="0" borderId="5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0" fillId="0" borderId="5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2" fillId="0" borderId="5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4" fillId="0" borderId="5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6" fillId="0" borderId="5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8" fillId="0" borderId="5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0" fillId="0" borderId="5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2" fillId="0" borderId="5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4" fillId="0" borderId="5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6" fillId="0" borderId="5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8" fillId="0" borderId="59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10" fillId="0" borderId="5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2" fillId="0" borderId="5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4" fillId="0" borderId="5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6" fillId="0" borderId="5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8" fillId="0" borderId="5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0" fillId="0" borderId="5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2" fillId="0" borderId="5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4" fillId="0" borderId="5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6" fillId="0" borderId="5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8" fillId="0" borderId="5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0" fillId="0" borderId="5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2" fillId="0" borderId="5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4" fillId="0" borderId="5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6" fillId="0" borderId="5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8" fillId="0" borderId="5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0" fillId="0" borderId="5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2" fillId="0" borderId="5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4" fillId="0" borderId="5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6" fillId="0" borderId="5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8" fillId="0" borderId="5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0" fillId="0" borderId="5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2" fillId="0" borderId="5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4" fillId="0" borderId="5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6" fillId="0" borderId="5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8" fillId="0" borderId="5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0" fillId="0" borderId="5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2" fillId="0" borderId="5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4" fillId="0" borderId="5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6" fillId="0" borderId="5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8" fillId="0" borderId="5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0" fillId="0" borderId="5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72" fillId="0" borderId="5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74" fillId="0" borderId="5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76" fillId="0" borderId="5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8" fillId="0" borderId="5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0" fillId="0" borderId="5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2" fillId="0" borderId="5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84" fillId="0" borderId="5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86" fillId="0" borderId="5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88" fillId="0" borderId="5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0" fillId="0" borderId="5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92" fillId="0" borderId="5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94" fillId="0" borderId="5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96" fillId="0" borderId="5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8" fillId="0" borderId="5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0" fillId="0" borderId="5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2" fillId="0" borderId="5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04" fillId="0" borderId="59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06" fillId="0" borderId="59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08" fillId="0" borderId="5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0" fillId="0" borderId="5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12" fillId="0" borderId="6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14" fillId="0" borderId="6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16" fillId="0" borderId="6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8" fillId="0" borderId="6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0" fillId="0" borderId="6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2" fillId="0" borderId="6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24" fillId="0" borderId="6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26" fillId="0" borderId="6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28" fillId="0" borderId="6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0" fillId="0" borderId="6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2" fillId="0" borderId="6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034" fillId="0" borderId="60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36" fillId="0" borderId="6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8" fillId="0" borderId="6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0" fillId="0" borderId="6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42" fillId="0" borderId="6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44" fillId="0" borderId="6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046" fillId="0" borderId="60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48" fillId="0" borderId="6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50" fillId="0" borderId="6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2" fillId="0" borderId="6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054" fillId="0" borderId="6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56" fillId="0" borderId="6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8" fillId="0" borderId="6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0" fillId="0" borderId="6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62" fillId="0" borderId="6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64" fillId="0" borderId="6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066" fillId="0" borderId="6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68" fillId="0" borderId="6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70" fillId="0" borderId="6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72" fillId="0" borderId="6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074" fillId="0" borderId="6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76" fillId="0" borderId="6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8" fillId="0" borderId="6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0" fillId="0" borderId="6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82" fillId="0" borderId="6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84" fillId="0" borderId="6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086" fillId="0" borderId="6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88" fillId="0" borderId="6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90" fillId="0" borderId="6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92" fillId="0" borderId="6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094" fillId="0" borderId="6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96" fillId="0" borderId="6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8" fillId="0" borderId="6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0" fillId="0" borderId="6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02" fillId="0" borderId="6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04" fillId="0" borderId="6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106" fillId="0" borderId="6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08" fillId="0" borderId="6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0" fillId="0" borderId="6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12" fillId="0" borderId="6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4" fillId="0" borderId="6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6" fillId="0" borderId="6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8" fillId="0" borderId="6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0" fillId="0" borderId="6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2" fillId="0" borderId="6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24" fillId="0" borderId="6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6" fillId="0" borderId="6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8" fillId="0" borderId="6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0" fillId="0" borderId="6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32" fillId="0" borderId="6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4" fillId="0" borderId="6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6" fillId="0" borderId="6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8" fillId="0" borderId="6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0" fillId="0" borderId="6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2" fillId="0" borderId="60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44" fillId="0" borderId="6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6" fillId="0" borderId="6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8" fillId="0" borderId="6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0" fillId="0" borderId="6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52" fillId="0" borderId="6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4" fillId="0" borderId="6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6" fillId="0" borderId="6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8" fillId="0" borderId="6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0" fillId="0" borderId="6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2" fillId="0" borderId="6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64" fillId="0" borderId="6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6" fillId="0" borderId="6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8" fillId="0" borderId="6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0" fillId="0" borderId="6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72" fillId="0" borderId="6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4" fillId="0" borderId="6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6" fillId="0" borderId="6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8" fillId="0" borderId="6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0" fillId="0" borderId="6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2" fillId="0" borderId="6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84" fillId="0" borderId="6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6" fillId="0" borderId="6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8" fillId="0" borderId="6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0" fillId="0" borderId="60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92" fillId="0" borderId="6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4" fillId="0" borderId="6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6" fillId="0" borderId="6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8" fillId="0" borderId="6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0" fillId="0" borderId="6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2" fillId="0" borderId="60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04" fillId="0" borderId="6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6" fillId="0" borderId="6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8" fillId="0" borderId="6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10" fillId="0" borderId="6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12" fillId="0" borderId="6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4" fillId="0" borderId="6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6" fillId="0" borderId="6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8" fillId="0" borderId="6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0" fillId="0" borderId="6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2" fillId="0" borderId="6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24" fillId="0" borderId="6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6" fillId="0" borderId="6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7" fillId="0" borderId="61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28" fillId="0" borderId="61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29" fillId="0" borderId="61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30" fillId="0" borderId="61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31" fillId="0" borderId="61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32" fillId="0" borderId="61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33" fillId="0" borderId="61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34" fillId="0" borderId="61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35" fillId="0" borderId="61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36" fillId="0" borderId="61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37" fillId="0" borderId="61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38" fillId="0" borderId="61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39" fillId="0" borderId="61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40" fillId="0" borderId="61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41" fillId="0" borderId="61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42" fillId="0" borderId="61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43" fillId="0" borderId="61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44" fillId="0" borderId="61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45" fillId="0" borderId="61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46" fillId="0" borderId="61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47" fillId="0" borderId="61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48" fillId="0" borderId="61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49" fillId="0" borderId="61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50" fillId="0" borderId="61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51" fillId="0" borderId="61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52" fillId="0" borderId="61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53" fillId="0" borderId="61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54" fillId="0" borderId="61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55" fillId="0" borderId="61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56" fillId="0" borderId="61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57" fillId="0" borderId="61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58" fillId="0" borderId="61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59" fillId="0" borderId="61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60" fillId="0" borderId="61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61" fillId="0" borderId="61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62" fillId="0" borderId="61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63" fillId="0" borderId="61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64" fillId="0" borderId="61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65" fillId="0" borderId="61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66" fillId="0" borderId="61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67" fillId="0" borderId="61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68" fillId="0" borderId="61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69" fillId="0" borderId="61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70" fillId="0" borderId="61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71" fillId="0" borderId="61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72" fillId="0" borderId="61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73" fillId="0" borderId="61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74" fillId="0" borderId="61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75" fillId="0" borderId="61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76" fillId="0" borderId="61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77" fillId="0" borderId="61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78" fillId="0" borderId="61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79" fillId="0" borderId="61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80" fillId="0" borderId="61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81" fillId="0" borderId="61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82" fillId="0" borderId="61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83" fillId="0" borderId="61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84" fillId="0" borderId="61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85" fillId="0" borderId="61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86" fillId="0" borderId="61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87" fillId="0" borderId="61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88" fillId="0" borderId="61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89" fillId="0" borderId="61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90" fillId="0" borderId="61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91" fillId="0" borderId="61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92" fillId="0" borderId="61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93" fillId="0" borderId="61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94" fillId="0" borderId="61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95" fillId="0" borderId="61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96" fillId="0" borderId="61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97" fillId="0" borderId="61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98" fillId="0" borderId="61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99" fillId="0" borderId="61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00" fillId="0" borderId="61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01" fillId="0" borderId="61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02" fillId="0" borderId="61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03" fillId="0" borderId="61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04" fillId="0" borderId="61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05" fillId="0" borderId="61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06" fillId="0" borderId="61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07" fillId="0" borderId="61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308" fillId="0" borderId="618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309" fillId="0" borderId="61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310" fillId="0" borderId="61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11" fillId="0" borderId="61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12" fillId="0" borderId="61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13" fillId="0" borderId="61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314" fillId="0" borderId="619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315" fillId="0" borderId="61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316" fillId="0" borderId="61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17" fillId="0" borderId="61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318" fillId="0" borderId="619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319" fillId="0" borderId="62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320" fillId="0" borderId="62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21" fillId="0" borderId="62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22" fillId="0" borderId="62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23" fillId="0" borderId="62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324" fillId="0" borderId="620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325" fillId="0" borderId="62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326" fillId="0" borderId="62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27" fillId="0" borderId="62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328" fillId="0" borderId="620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329" fillId="0" borderId="62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330" fillId="0" borderId="62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31" fillId="0" borderId="62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32" fillId="0" borderId="62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33" fillId="0" borderId="62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334" fillId="0" borderId="621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335" fillId="0" borderId="62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336" fillId="0" borderId="62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37" fillId="0" borderId="62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338" fillId="0" borderId="621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339" fillId="0" borderId="62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340" fillId="0" borderId="62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41" fillId="0" borderId="62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42" fillId="0" borderId="62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43" fillId="0" borderId="62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344" fillId="0" borderId="622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345" fillId="0" borderId="62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346" fillId="0" borderId="62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47" fillId="0" borderId="62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48" fillId="0" borderId="62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49" fillId="0" borderId="62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50" fillId="0" borderId="62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51" fillId="0" borderId="62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52" fillId="0" borderId="62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53" fillId="0" borderId="62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54" fillId="0" borderId="62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55" fillId="0" borderId="62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56" fillId="0" borderId="62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57" fillId="0" borderId="62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58" fillId="0" borderId="62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59" fillId="0" borderId="62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60" fillId="0" borderId="62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61" fillId="0" borderId="62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62" fillId="0" borderId="62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63" fillId="0" borderId="62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64" fillId="0" borderId="62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65" fillId="0" borderId="62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66" fillId="0" borderId="62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67" fillId="0" borderId="62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68" fillId="0" borderId="62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69" fillId="0" borderId="62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70" fillId="0" borderId="62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71" fillId="0" borderId="62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72" fillId="0" borderId="62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73" fillId="0" borderId="62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74" fillId="0" borderId="62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75" fillId="0" borderId="62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76" fillId="0" borderId="62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77" fillId="0" borderId="62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78" fillId="0" borderId="62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79" fillId="0" borderId="62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80" fillId="0" borderId="62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81" fillId="0" borderId="62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82" fillId="0" borderId="62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83" fillId="0" borderId="62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84" fillId="0" borderId="62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85" fillId="0" borderId="62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86" fillId="0" borderId="62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87" fillId="0" borderId="62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88" fillId="0" borderId="62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89" fillId="0" borderId="62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90" fillId="0" borderId="62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91" fillId="0" borderId="62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92" fillId="0" borderId="62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93" fillId="0" borderId="62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94" fillId="0" borderId="62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95" fillId="0" borderId="62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96" fillId="0" borderId="62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97" fillId="0" borderId="62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398" fillId="0" borderId="62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99" fillId="0" borderId="62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00" fillId="0" borderId="62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01" fillId="0" borderId="62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02" fillId="0" borderId="62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03" fillId="0" borderId="62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404" fillId="0" borderId="62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05" fillId="0" borderId="62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06" fillId="0" borderId="62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08" fillId="0" borderId="6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289" xfId="0"/>
    <xf numFmtId="0" fontId="0" fillId="0" borderId="6290" xfId="0" applyBorder="true"/>
    <xf numFmtId="0" fontId="0" fillId="0" borderId="6291" xfId="0"/>
    <xf numFmtId="0" fontId="8410" fillId="0" borderId="6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293" xfId="0"/>
    <xf numFmtId="0" fontId="0" fillId="0" borderId="6294" xfId="0" applyBorder="true"/>
    <xf numFmtId="0" fontId="8411" fillId="0" borderId="6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2" fillId="0" borderId="6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3" fillId="0" borderId="6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4" fillId="0" borderId="6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5" fillId="0" borderId="6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300" xfId="0" applyBorder="true"/>
    <xf numFmtId="0" fontId="0" fillId="0" borderId="6301" xfId="0"/>
    <xf numFmtId="0" fontId="0" fillId="0" borderId="6302" xfId="0"/>
    <xf numFmtId="0" fontId="0" fillId="0" borderId="6303" xfId="0"/>
    <xf numFmtId="0" fontId="0" fillId="0" borderId="6304" xfId="0"/>
    <xf numFmtId="0" fontId="0" fillId="0" borderId="6305" xfId="0"/>
    <xf numFmtId="0" fontId="0" fillId="0" borderId="6306" xfId="0"/>
    <xf numFmtId="0" fontId="0" fillId="0" borderId="6307" xfId="0" applyBorder="true"/>
    <xf numFmtId="0" fontId="0" fillId="0" borderId="6308" xfId="0"/>
    <xf numFmtId="0" fontId="8416" fillId="0" borderId="6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18" fillId="0" borderId="6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19" fillId="0" borderId="6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20" fillId="0" borderId="6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21" fillId="0" borderId="6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22" fillId="0" borderId="6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23" fillId="0" borderId="6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24" fillId="0" borderId="6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25" fillId="0" borderId="6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26" fillId="0" borderId="6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27" fillId="0" borderId="6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28" fillId="0" borderId="6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29" fillId="0" borderId="6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30" fillId="0" borderId="6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431" fillId="0" borderId="6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2" fillId="0" borderId="6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3" fillId="0" borderId="6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4" fillId="0" borderId="6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5" fillId="0" borderId="6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6" fillId="0" borderId="6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7" fillId="0" borderId="6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8" fillId="0" borderId="6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9" fillId="0" borderId="6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40" fillId="0" borderId="6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41" fillId="0" borderId="6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42" fillId="0" borderId="6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43" fillId="0" borderId="6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44" fillId="0" borderId="6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45" fillId="0" borderId="6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46" fillId="0" borderId="6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447" fillId="0" borderId="6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448" fillId="0" borderId="6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449" fillId="0" borderId="6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450" fillId="0" borderId="6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451" fillId="0" borderId="6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452" fillId="0" borderId="6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453" fillId="0" borderId="6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454" fillId="0" borderId="6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455" fillId="0" borderId="6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456" fillId="0" borderId="6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457" fillId="0" borderId="6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458" fillId="0" borderId="6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459" fillId="0" borderId="6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460" fillId="0" borderId="6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461" fillId="0" borderId="6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462" fillId="0" borderId="6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463" fillId="0" borderId="6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464" fillId="0" borderId="6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6" fillId="0" borderId="6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8" fillId="0" borderId="6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70" fillId="0" borderId="6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2" fillId="0" borderId="6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474" fillId="0" borderId="6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6" fillId="0" borderId="6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78" fillId="0" borderId="6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0" fillId="0" borderId="6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482" fillId="0" borderId="6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84" fillId="0" borderId="6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6" fillId="0" borderId="6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8" fillId="0" borderId="6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0" fillId="0" borderId="6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2" fillId="0" borderId="6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4" fillId="0" borderId="6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6" fillId="0" borderId="6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8" fillId="0" borderId="6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0" fillId="0" borderId="6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2" fillId="0" borderId="6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4" fillId="0" borderId="6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6" fillId="0" borderId="6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8" fillId="0" borderId="6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0" fillId="0" borderId="6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2" fillId="0" borderId="6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4" fillId="0" borderId="6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6" fillId="0" borderId="6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8" fillId="0" borderId="6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0" fillId="0" borderId="6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2" fillId="0" borderId="6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4" fillId="0" borderId="6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6" fillId="0" borderId="6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28" fillId="0" borderId="6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30" fillId="0" borderId="6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32" fillId="0" borderId="6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4" fillId="0" borderId="6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36" fillId="0" borderId="6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38" fillId="0" borderId="6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40" fillId="0" borderId="6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2" fillId="0" borderId="6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4" fillId="0" borderId="6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546" fillId="0" borderId="6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48" fillId="0" borderId="6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50" fillId="0" borderId="6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2" fillId="0" borderId="6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554" fillId="0" borderId="6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56" fillId="0" borderId="6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58" fillId="0" borderId="6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0" fillId="0" borderId="6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562" fillId="0" borderId="6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64" fillId="0" borderId="6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66" fillId="0" borderId="6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8" fillId="0" borderId="6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570" fillId="0" borderId="6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72" fillId="0" borderId="6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74" fillId="0" borderId="6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76" fillId="0" borderId="6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578" fillId="0" borderId="6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80" fillId="0" borderId="6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82" fillId="0" borderId="6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84" fillId="0" borderId="6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586" fillId="0" borderId="6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88" fillId="0" borderId="6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90" fillId="0" borderId="6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92" fillId="0" borderId="6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594" fillId="0" borderId="6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96" fillId="0" borderId="6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98" fillId="0" borderId="6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0" fillId="0" borderId="6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602" fillId="0" borderId="6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04" fillId="0" borderId="6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6" fillId="0" borderId="6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08" fillId="0" borderId="6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0" fillId="0" borderId="6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2" fillId="0" borderId="6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4" fillId="0" borderId="6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16" fillId="0" borderId="6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8" fillId="0" borderId="6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0" fillId="0" borderId="6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2" fillId="0" borderId="6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24" fillId="0" borderId="6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6" fillId="0" borderId="6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8" fillId="0" borderId="6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0" fillId="0" borderId="6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32" fillId="0" borderId="6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4" fillId="0" borderId="6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6" fillId="0" borderId="6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8" fillId="0" borderId="6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40" fillId="0" borderId="6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2" fillId="0" borderId="6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4" fillId="0" borderId="6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46" fillId="0" borderId="6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48" fillId="0" borderId="6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0" fillId="0" borderId="6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1" fillId="0" borderId="64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52" fillId="0" borderId="64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53" fillId="0" borderId="64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54" fillId="0" borderId="64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55" fillId="0" borderId="64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56" fillId="0" borderId="64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57" fillId="0" borderId="64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58" fillId="0" borderId="64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59" fillId="0" borderId="64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60" fillId="0" borderId="64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61" fillId="0" borderId="64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62" fillId="0" borderId="64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63" fillId="0" borderId="64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64" fillId="0" borderId="64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65" fillId="0" borderId="64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66" fillId="0" borderId="64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67" fillId="0" borderId="64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68" fillId="0" borderId="64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69" fillId="0" borderId="64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70" fillId="0" borderId="64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71" fillId="0" borderId="64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72" fillId="0" borderId="64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73" fillId="0" borderId="64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74" fillId="0" borderId="64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75" fillId="0" borderId="64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76" fillId="0" borderId="64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77" fillId="0" borderId="64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78" fillId="0" borderId="64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79" fillId="0" borderId="64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680" fillId="0" borderId="647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681" fillId="0" borderId="64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682" fillId="0" borderId="64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83" fillId="0" borderId="64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684" fillId="0" borderId="648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685" fillId="0" borderId="64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686" fillId="0" borderId="64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87" fillId="0" borderId="64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688" fillId="0" borderId="648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689" fillId="0" borderId="64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690" fillId="0" borderId="64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91" fillId="0" borderId="64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692" fillId="0" borderId="649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693" fillId="0" borderId="64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694" fillId="0" borderId="64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95" fillId="0" borderId="64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696" fillId="0" borderId="649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697" fillId="0" borderId="64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698" fillId="0" borderId="64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99" fillId="0" borderId="64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700" fillId="0" borderId="649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701" fillId="0" borderId="65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702" fillId="0" borderId="65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03" fillId="0" borderId="65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704" fillId="0" borderId="650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705" fillId="0" borderId="65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706" fillId="0" borderId="65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07" fillId="0" borderId="65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708" fillId="0" borderId="650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709" fillId="0" borderId="65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710" fillId="0" borderId="65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11" fillId="0" borderId="65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12" fillId="0" borderId="65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13" fillId="0" borderId="65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14" fillId="0" borderId="65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15" fillId="0" borderId="65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16" fillId="0" borderId="65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17" fillId="0" borderId="65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18" fillId="0" borderId="65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19" fillId="0" borderId="65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20" fillId="0" borderId="65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21" fillId="0" borderId="65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22" fillId="0" borderId="65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23" fillId="0" borderId="65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24" fillId="0" borderId="65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25" fillId="0" borderId="65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26" fillId="0" borderId="65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27" fillId="0" borderId="65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28" fillId="0" borderId="65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29" fillId="0" borderId="65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30" fillId="0" borderId="65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31" fillId="0" borderId="65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732" fillId="0" borderId="65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33" fillId="0" borderId="65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34" fillId="0" borderId="65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4"/>
  <sheetFormatPr defaultRowHeight="15"/>
  <sheetData>
    <row r="1">
      <c r="A1" s="506"/>
      <c r="B1" s="507"/>
      <c r="C1" s="508"/>
      <c r="D1" s="509"/>
      <c r="E1" s="510"/>
      <c r="F1" s="511"/>
      <c r="G1" s="512"/>
      <c r="H1" s="513"/>
      <c r="I1" s="514"/>
    </row>
    <row r="2">
      <c r="A2" s="515"/>
      <c r="B2" s="516"/>
      <c r="C2" s="517"/>
      <c r="D2" s="518"/>
      <c r="E2" s="519"/>
      <c r="F2" s="520"/>
      <c r="G2" s="521"/>
      <c r="H2" s="522"/>
      <c r="I2" s="523"/>
    </row>
    <row r="3">
      <c r="A3" s="524" t="s">
        <v>23</v>
      </c>
      <c r="B3" s="525"/>
      <c r="C3" s="526"/>
      <c r="D3" s="527"/>
      <c r="E3" s="528"/>
      <c r="F3" s="529"/>
      <c r="G3" s="530"/>
      <c r="H3" s="531"/>
      <c r="I3" s="532"/>
    </row>
    <row r="4">
      <c r="A4" s="533"/>
      <c r="B4" s="534"/>
      <c r="C4" s="535"/>
      <c r="D4" s="536"/>
      <c r="E4" s="537"/>
      <c r="F4" s="538"/>
      <c r="G4" s="539"/>
      <c r="H4" s="540"/>
      <c r="I4" s="541"/>
    </row>
    <row r="5">
      <c r="A5" s="542" t="s">
        <v>0</v>
      </c>
      <c r="B5" s="543"/>
      <c r="C5" s="544"/>
      <c r="D5" s="545"/>
      <c r="E5" s="546"/>
      <c r="F5" s="547"/>
      <c r="G5" s="548"/>
      <c r="H5" s="549"/>
      <c r="I5" s="550"/>
    </row>
    <row r="6">
      <c r="A6" s="551" t="s">
        <v>1</v>
      </c>
      <c r="B6" s="552">
        <v>201</v>
      </c>
      <c r="C6" s="553"/>
      <c r="D6" s="554">
        <v>627</v>
      </c>
      <c r="E6" s="555"/>
      <c r="F6" s="556">
        <v>198</v>
      </c>
      <c r="G6" s="557"/>
      <c r="H6" s="558">
        <v>66</v>
      </c>
      <c r="I6" s="559"/>
    </row>
    <row r="7">
      <c r="A7" s="560" t="s">
        <v>2</v>
      </c>
      <c r="B7" s="561" t="s">
        <v>3</v>
      </c>
      <c r="C7" s="562"/>
      <c r="D7" s="563" t="s">
        <v>4</v>
      </c>
      <c r="E7" s="564"/>
      <c r="F7" s="565"/>
      <c r="G7" s="566"/>
      <c r="H7" s="567"/>
      <c r="I7" s="568"/>
    </row>
    <row r="8">
      <c r="A8" s="569" t="s">
        <v>5</v>
      </c>
      <c r="B8" s="570"/>
      <c r="C8" s="571"/>
      <c r="D8" s="572"/>
      <c r="E8" s="573"/>
      <c r="F8" s="574" t="s">
        <v>3</v>
      </c>
      <c r="G8" s="575"/>
      <c r="H8" s="576" t="s">
        <v>4</v>
      </c>
      <c r="I8" s="577"/>
    </row>
    <row r="9">
      <c r="A9" s="578"/>
      <c r="B9" s="579" t="s">
        <v>6</v>
      </c>
      <c r="C9" s="580" t="s">
        <v>7</v>
      </c>
      <c r="D9" s="581" t="s">
        <v>6</v>
      </c>
      <c r="E9" s="582" t="s">
        <v>7</v>
      </c>
      <c r="F9" s="583" t="s">
        <v>6</v>
      </c>
      <c r="G9" s="584" t="s">
        <v>7</v>
      </c>
      <c r="H9" s="585" t="s">
        <v>6</v>
      </c>
      <c r="I9" s="586" t="s">
        <v>7</v>
      </c>
    </row>
    <row r="10">
      <c r="A10" s="587" t="s">
        <v>8</v>
      </c>
      <c r="B10" s="588">
        <v>0.25574071906432883</v>
      </c>
      <c r="C10" s="589">
        <v>0.23414655029773709</v>
      </c>
      <c r="D10" s="590">
        <v>0.28044075819075498</v>
      </c>
      <c r="E10" s="591">
        <v>0.2449304610490799</v>
      </c>
      <c r="F10" s="592">
        <v>0.15568990528470639</v>
      </c>
      <c r="G10" s="593">
        <v>0.13588074594736099</v>
      </c>
      <c r="H10" s="594">
        <v>0.16310093405120299</v>
      </c>
      <c r="I10" s="595">
        <v>0.14749304205179209</v>
      </c>
    </row>
    <row r="11">
      <c r="A11" s="596" t="s">
        <v>9</v>
      </c>
      <c r="B11" s="597">
        <v>0.95894997989508646</v>
      </c>
      <c r="C11" s="598">
        <v>0.899455726146698</v>
      </c>
      <c r="D11" s="599">
        <v>1.0871305478858559</v>
      </c>
      <c r="E11" s="600">
        <v>0.95541501045227051</v>
      </c>
      <c r="F11" s="601">
        <v>2.1243468543069191</v>
      </c>
      <c r="G11" s="602">
        <v>1.3715171813964839</v>
      </c>
      <c r="H11" s="603">
        <v>2.84368376942381</v>
      </c>
      <c r="I11" s="604">
        <v>1.5392472743988039</v>
      </c>
    </row>
    <row r="12">
      <c r="A12" s="605" t="s">
        <v>10</v>
      </c>
      <c r="B12" s="606">
        <v>0.15514000995427521</v>
      </c>
      <c r="C12" s="607">
        <v>0.15043547749519351</v>
      </c>
      <c r="D12" s="608">
        <v>0.16059466691441129</v>
      </c>
      <c r="E12" s="609">
        <v>0.15173204243183139</v>
      </c>
      <c r="F12" s="610">
        <v>0.13214045534535979</v>
      </c>
      <c r="G12" s="611">
        <v>0.12552112340927121</v>
      </c>
      <c r="H12" s="612">
        <v>0.1273314897535425</v>
      </c>
      <c r="I12" s="613">
        <v>0.12788799405097959</v>
      </c>
    </row>
    <row r="13">
      <c r="A13" s="614" t="s">
        <v>11</v>
      </c>
      <c r="B13" s="615">
        <v>0.074059290774931105</v>
      </c>
      <c r="C13" s="616">
        <v>0.051716893911361701</v>
      </c>
      <c r="D13" s="617">
        <v>0.067673669085355895</v>
      </c>
      <c r="E13" s="618">
        <v>0.047468960285186802</v>
      </c>
      <c r="F13" s="619">
        <v>0.096476140281837</v>
      </c>
      <c r="G13" s="620">
        <v>0.083382293581962599</v>
      </c>
      <c r="H13" s="621">
        <v>0.11928487782521791</v>
      </c>
      <c r="I13" s="622">
        <v>0.1208202913403511</v>
      </c>
    </row>
    <row r="14">
      <c r="A14" s="623" t="s">
        <v>12</v>
      </c>
      <c r="B14" s="624">
        <v>0.017220513465691499</v>
      </c>
      <c r="C14" s="625">
        <v>0.0036109646316618</v>
      </c>
      <c r="D14" s="626">
        <v>0.014466116021090601</v>
      </c>
      <c r="E14" s="627">
        <v>0</v>
      </c>
      <c r="F14" s="628">
        <v>0.0112012852581334</v>
      </c>
      <c r="G14" s="629">
        <v>0</v>
      </c>
      <c r="H14" s="630">
        <v>0.0131571236124728</v>
      </c>
      <c r="I14" s="631">
        <v>0.0017626125481910999</v>
      </c>
    </row>
    <row r="15">
      <c r="A15" s="632" t="s">
        <v>13</v>
      </c>
      <c r="B15" s="633">
        <v>0.26709346642801118</v>
      </c>
      <c r="C15" s="634">
        <v>0.27198347449302668</v>
      </c>
      <c r="D15" s="635">
        <v>0.2719013372813448</v>
      </c>
      <c r="E15" s="636">
        <v>0.26129326224327087</v>
      </c>
      <c r="F15" s="637">
        <v>0.30987711517008559</v>
      </c>
      <c r="G15" s="638">
        <v>0.30519093573093409</v>
      </c>
      <c r="H15" s="639">
        <v>0.38466019527704431</v>
      </c>
      <c r="I15" s="640">
        <v>0.37037451565265661</v>
      </c>
    </row>
    <row r="16">
      <c r="A16" s="641" t="s">
        <v>14</v>
      </c>
      <c r="B16" s="642">
        <v>0.1300128744498118</v>
      </c>
      <c r="C16" s="643">
        <v>0.1159225031733513</v>
      </c>
      <c r="D16" s="644">
        <v>0.13866443465652459</v>
      </c>
      <c r="E16" s="645">
        <v>0.1170452982187271</v>
      </c>
      <c r="F16" s="646">
        <v>0.14984726365843809</v>
      </c>
      <c r="G16" s="647">
        <v>0.1381703466176987</v>
      </c>
      <c r="H16" s="648">
        <v>0.17062972073979449</v>
      </c>
      <c r="I16" s="649">
        <v>0.1412477120757103</v>
      </c>
    </row>
    <row r="17">
      <c r="A17" s="650" t="s">
        <v>15</v>
      </c>
      <c r="B17" s="651">
        <v>0.0385645072234201</v>
      </c>
      <c r="C17" s="652">
        <v>0.027493026107549699</v>
      </c>
      <c r="D17" s="653">
        <v>0.048394756641510397</v>
      </c>
      <c r="E17" s="654">
        <v>0.026743588969111401</v>
      </c>
      <c r="F17" s="655">
        <v>0.057165720301690301</v>
      </c>
      <c r="G17" s="656">
        <v>0.048435620963573497</v>
      </c>
      <c r="H17" s="657">
        <v>0.058742251476470497</v>
      </c>
      <c r="I17" s="658">
        <v>0.044680437073111499</v>
      </c>
    </row>
    <row r="18">
      <c r="A18" s="659" t="s">
        <v>16</v>
      </c>
      <c r="B18" s="660">
        <v>0.1911440836691381</v>
      </c>
      <c r="C18" s="661">
        <v>0.19772788882255549</v>
      </c>
      <c r="D18" s="662">
        <v>0.1932135272463725</v>
      </c>
      <c r="E18" s="663">
        <v>0.19139878451824191</v>
      </c>
      <c r="F18" s="664">
        <v>0.1780677590932376</v>
      </c>
      <c r="G18" s="665">
        <v>0.13176689296960831</v>
      </c>
      <c r="H18" s="666">
        <v>0.16744384736529991</v>
      </c>
      <c r="I18" s="667">
        <v>0.15313428640365601</v>
      </c>
    </row>
    <row r="19">
      <c r="A19" s="668" t="s">
        <v>17</v>
      </c>
      <c r="B19" s="669">
        <v>0.17967396953481421</v>
      </c>
      <c r="C19" s="670">
        <v>0.12542210519313809</v>
      </c>
      <c r="D19" s="671">
        <v>0.17250062406536171</v>
      </c>
      <c r="E19" s="672">
        <v>0.1154112592339516</v>
      </c>
      <c r="F19" s="673">
        <v>0.2448077416182684</v>
      </c>
      <c r="G19" s="674">
        <v>0.2178648263216019</v>
      </c>
      <c r="H19" s="675">
        <v>0.29011262684467842</v>
      </c>
      <c r="I19" s="676">
        <v>0.24595896899700159</v>
      </c>
    </row>
    <row r="20">
      <c r="A20" s="677" t="s">
        <v>18</v>
      </c>
      <c r="B20" s="678">
        <v>0.61691542288557211</v>
      </c>
      <c r="C20" s="679">
        <v>1</v>
      </c>
      <c r="D20" s="680">
        <v>0.64114832535885169</v>
      </c>
      <c r="E20" s="681">
        <v>1</v>
      </c>
      <c r="F20" s="682">
        <v>0.66666666666666663</v>
      </c>
      <c r="G20" s="683">
        <v>1</v>
      </c>
      <c r="H20" s="684">
        <v>0.68181818181818177</v>
      </c>
      <c r="I20" s="685">
        <v>1</v>
      </c>
    </row>
    <row r="21">
      <c r="A21" s="686" t="s">
        <v>19</v>
      </c>
      <c r="B21" s="687">
        <v>0.27860696517412942</v>
      </c>
      <c r="C21" s="688">
        <v>0</v>
      </c>
      <c r="D21" s="689">
        <v>0.28229665071770332</v>
      </c>
      <c r="E21" s="690">
        <v>0</v>
      </c>
      <c r="F21" s="691">
        <v>0.3888888888888889</v>
      </c>
      <c r="G21" s="692">
        <v>0</v>
      </c>
      <c r="H21" s="693">
        <v>0.2878787878787879</v>
      </c>
      <c r="I21" s="694">
        <v>0</v>
      </c>
    </row>
    <row r="22">
      <c r="A22" s="695" t="s">
        <v>20</v>
      </c>
      <c r="B22" s="696">
        <v>0.19088659460125809</v>
      </c>
      <c r="C22" s="697">
        <v>0.15772129595279691</v>
      </c>
      <c r="D22" s="698">
        <v>0.17646079511673471</v>
      </c>
      <c r="E22" s="699">
        <v>0.1066949889063835</v>
      </c>
      <c r="F22" s="700">
        <v>0.15085972325183741</v>
      </c>
      <c r="G22" s="701">
        <v>0.086442865431308705</v>
      </c>
      <c r="H22" s="702">
        <v>0.12510857734631631</v>
      </c>
      <c r="I22" s="703">
        <v>0.069786287844181102</v>
      </c>
    </row>
    <row r="23">
      <c r="A23" s="704" t="s">
        <v>21</v>
      </c>
      <c r="B23" s="705">
        <v>0.39575996976438449</v>
      </c>
      <c r="C23" s="706">
        <v>0.31121867895126343</v>
      </c>
      <c r="D23" s="707">
        <v>0.4140970201619219</v>
      </c>
      <c r="E23" s="708">
        <v>0.32443654537200928</v>
      </c>
      <c r="F23" s="709">
        <v>0.31650164374855883</v>
      </c>
      <c r="G23" s="710">
        <v>0.2193537503480911</v>
      </c>
      <c r="H23" s="711">
        <v>0.29469697087100061</v>
      </c>
      <c r="I23" s="712">
        <v>0.2326153367757797</v>
      </c>
    </row>
    <row r="24">
      <c r="A24" s="713" t="s">
        <v>22</v>
      </c>
      <c r="B24" s="714">
        <v>9.8628327929558441</v>
      </c>
      <c r="C24" s="715">
        <v>10.612828254699711</v>
      </c>
      <c r="D24" s="716">
        <v>9.6367642164610601</v>
      </c>
      <c r="E24" s="717">
        <v>10.04966354370117</v>
      </c>
      <c r="F24" s="718">
        <v>9.3460401067830094</v>
      </c>
      <c r="G24" s="719">
        <v>9.5646915435791016</v>
      </c>
      <c r="H24" s="720">
        <v>9.2778783567024004</v>
      </c>
      <c r="I24" s="721">
        <v>9.0030841827392578</v>
      </c>
    </row>
  </sheetData>
  <mergeCells count="10">
    <mergeCell ref="A5:I5"/>
    <mergeCell ref="B6:C6"/>
    <mergeCell ref="D6:E6"/>
    <mergeCell ref="F6:G6"/>
    <mergeCell ref="H6:I6"/>
    <mergeCell ref="B7:C7"/>
    <mergeCell ref="D7:E7"/>
    <mergeCell ref="F8:G8"/>
    <mergeCell ref="H8:I8"/>
    <mergeCell ref="A3:I3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P19"/>
  <sheetFormatPr defaultRowHeight="15"/>
  <sheetData>
    <row r="1">
      <c r="A1" s="1052"/>
      <c r="B1" s="1053"/>
      <c r="C1" s="1054"/>
      <c r="D1" s="1055"/>
      <c r="E1" s="1056"/>
      <c r="F1" s="1057"/>
      <c r="G1" s="1058"/>
      <c r="H1" s="1059"/>
      <c r="I1" s="1060"/>
      <c r="J1" s="1061"/>
      <c r="K1" s="1062"/>
      <c r="L1" s="1063"/>
      <c r="M1" s="1064"/>
      <c r="N1" s="1065"/>
    </row>
    <row r="2">
      <c r="A2" s="1066"/>
      <c r="B2" s="1067"/>
      <c r="C2" s="1068"/>
      <c r="D2" s="1069"/>
      <c r="E2" s="1070"/>
      <c r="F2" s="1071"/>
      <c r="G2" s="1072"/>
      <c r="H2" s="1073"/>
      <c r="I2" s="1074"/>
      <c r="J2" s="1075"/>
      <c r="K2" s="1076"/>
      <c r="L2" s="1077"/>
      <c r="M2" s="1078"/>
      <c r="N2" s="1079"/>
    </row>
    <row r="3">
      <c r="A3" s="1080" t="s">
        <v>24</v>
      </c>
      <c r="B3" s="1081"/>
      <c r="C3" s="1082"/>
      <c r="D3" s="1083"/>
      <c r="E3" s="1084"/>
      <c r="F3" s="1085"/>
      <c r="G3" s="1086"/>
      <c r="H3" s="1087"/>
      <c r="I3" s="1088"/>
      <c r="J3" s="1089"/>
      <c r="K3" s="1090"/>
      <c r="L3" s="1091"/>
      <c r="M3" s="1092"/>
      <c r="N3" s="1093"/>
    </row>
    <row r="4">
      <c r="A4" s="1094"/>
      <c r="B4" s="1095"/>
      <c r="C4" s="1096"/>
      <c r="D4" s="1097"/>
      <c r="E4" s="1098"/>
      <c r="F4" s="1099"/>
      <c r="G4" s="1100"/>
      <c r="H4" s="1101"/>
      <c r="I4" s="1102"/>
      <c r="J4" s="1103"/>
      <c r="K4" s="1104"/>
      <c r="L4" s="1105"/>
      <c r="M4" s="1106"/>
      <c r="N4" s="1107"/>
    </row>
    <row r="5">
      <c r="A5" s="1108" t="s">
        <v>25</v>
      </c>
      <c r="B5" s="1109"/>
      <c r="C5" s="1110"/>
      <c r="D5" s="1111"/>
      <c r="E5" s="1112"/>
      <c r="F5" s="1113"/>
      <c r="G5" s="1114"/>
      <c r="H5" s="1115"/>
      <c r="I5" s="1116"/>
      <c r="J5" s="1117"/>
      <c r="K5" s="1118"/>
      <c r="L5" s="1119"/>
      <c r="M5" s="1120"/>
      <c r="N5" s="1121"/>
    </row>
    <row r="6">
      <c r="A6" s="1122"/>
      <c r="B6" s="1123"/>
      <c r="C6" s="1124" t="s">
        <v>31</v>
      </c>
      <c r="D6" s="1125"/>
      <c r="E6" s="1126"/>
      <c r="F6" s="1127"/>
      <c r="G6" s="1128"/>
      <c r="H6" s="1129" t="s">
        <v>32</v>
      </c>
      <c r="I6" s="1130"/>
      <c r="J6" s="1131"/>
      <c r="K6" s="1132"/>
      <c r="L6" s="1133"/>
      <c r="M6" s="1134"/>
      <c r="N6" s="1135"/>
    </row>
    <row r="7">
      <c r="A7" s="1136" t="s">
        <v>26</v>
      </c>
      <c r="B7" s="1137"/>
      <c r="C7" s="1138" t="s">
        <v>33</v>
      </c>
      <c r="D7" s="1139" t="s">
        <v>34</v>
      </c>
      <c r="E7" s="1140" t="s">
        <v>35</v>
      </c>
      <c r="F7" s="1141" t="s">
        <v>36</v>
      </c>
      <c r="G7" s="1142"/>
      <c r="H7" s="1143" t="s">
        <v>37</v>
      </c>
      <c r="I7" s="1144" t="s">
        <v>38</v>
      </c>
      <c r="J7" s="1145" t="s">
        <v>39</v>
      </c>
      <c r="K7" s="1146" t="s">
        <v>40</v>
      </c>
      <c r="L7" s="1147" t="s">
        <v>41</v>
      </c>
      <c r="M7" s="1148" t="s">
        <v>42</v>
      </c>
      <c r="N7" s="1149" t="s">
        <v>43</v>
      </c>
      <c r="O7" s="868"/>
      <c r="P7" s="869"/>
    </row>
    <row r="8">
      <c r="A8" s="1150" t="s">
        <v>27</v>
      </c>
      <c r="B8" s="1151"/>
      <c r="C8" s="1152" t="s">
        <v>44</v>
      </c>
      <c r="D8" s="1153" t="s">
        <v>45</v>
      </c>
      <c r="E8" s="1154" t="s">
        <v>46</v>
      </c>
      <c r="F8" s="1155" t="s">
        <v>47</v>
      </c>
      <c r="G8" s="1156"/>
      <c r="H8" s="1157" t="s">
        <v>48</v>
      </c>
      <c r="I8" s="1158" t="s">
        <v>49</v>
      </c>
      <c r="J8" s="1159" t="s">
        <v>50</v>
      </c>
      <c r="K8" s="1160" t="s">
        <v>51</v>
      </c>
      <c r="L8" s="1161" t="s">
        <v>52</v>
      </c>
      <c r="M8" s="1162" t="s">
        <v>52</v>
      </c>
      <c r="N8" s="1163" t="s">
        <v>53</v>
      </c>
    </row>
    <row r="9">
      <c r="A9" s="1164" t="s">
        <v>28</v>
      </c>
      <c r="B9" s="1165"/>
      <c r="C9" s="1166" t="s">
        <v>54</v>
      </c>
      <c r="D9" s="1167" t="s">
        <v>55</v>
      </c>
      <c r="E9" s="1168" t="s">
        <v>56</v>
      </c>
      <c r="F9" s="1169" t="s">
        <v>57</v>
      </c>
      <c r="G9" s="1170"/>
      <c r="H9" s="1171" t="s">
        <v>58</v>
      </c>
      <c r="I9" s="1172" t="s">
        <v>59</v>
      </c>
      <c r="J9" s="1173" t="s">
        <v>60</v>
      </c>
      <c r="K9" s="1174" t="s">
        <v>61</v>
      </c>
      <c r="L9" s="1175" t="s">
        <v>62</v>
      </c>
      <c r="M9" s="1176" t="s">
        <v>63</v>
      </c>
      <c r="N9" s="1177" t="s">
        <v>64</v>
      </c>
    </row>
    <row r="10">
      <c r="A10" s="1178" t="s">
        <v>29</v>
      </c>
      <c r="B10" s="1179"/>
      <c r="C10" s="1180" t="s">
        <v>65</v>
      </c>
      <c r="D10" s="1181" t="s">
        <v>66</v>
      </c>
      <c r="E10" s="1182" t="s">
        <v>67</v>
      </c>
      <c r="F10" s="1183" t="s">
        <v>68</v>
      </c>
      <c r="G10" s="1184"/>
      <c r="H10" s="1185" t="s">
        <v>69</v>
      </c>
      <c r="I10" s="1186" t="s">
        <v>70</v>
      </c>
      <c r="J10" s="1187" t="s">
        <v>71</v>
      </c>
      <c r="K10" s="1188" t="s">
        <v>72</v>
      </c>
      <c r="L10" s="1189" t="s">
        <v>73</v>
      </c>
      <c r="M10" s="1190" t="s">
        <v>74</v>
      </c>
      <c r="N10" s="1191" t="s">
        <v>71</v>
      </c>
    </row>
    <row r="11">
      <c r="A11" s="1192" t="s">
        <v>30</v>
      </c>
      <c r="B11" s="1193"/>
      <c r="C11" s="1194" t="s">
        <v>75</v>
      </c>
      <c r="D11" s="1195" t="s">
        <v>76</v>
      </c>
      <c r="E11" s="1196" t="s">
        <v>77</v>
      </c>
      <c r="F11" s="1197" t="s">
        <v>78</v>
      </c>
      <c r="G11" s="1198"/>
      <c r="H11" s="1199" t="s">
        <v>79</v>
      </c>
      <c r="I11" s="1200" t="s">
        <v>80</v>
      </c>
      <c r="J11" s="1201" t="s">
        <v>81</v>
      </c>
      <c r="K11" s="1202" t="s">
        <v>82</v>
      </c>
      <c r="L11" s="1203" t="s">
        <v>83</v>
      </c>
      <c r="M11" s="1204" t="s">
        <v>84</v>
      </c>
      <c r="N11" s="1205" t="s">
        <v>81</v>
      </c>
    </row>
    <row r="12">
      <c r="A12" s="1206"/>
      <c r="B12" s="1207"/>
      <c r="C12" s="1208"/>
      <c r="D12" s="1209"/>
      <c r="E12" s="1210"/>
      <c r="F12" s="1211"/>
      <c r="G12" s="1212"/>
      <c r="H12" s="1213"/>
      <c r="I12" s="1214"/>
      <c r="J12" s="1215"/>
      <c r="K12" s="1216"/>
      <c r="L12" s="1217"/>
      <c r="M12" s="1218"/>
      <c r="N12" s="1219"/>
    </row>
    <row r="13">
      <c r="C13" s="875"/>
    </row>
    <row r="14">
      <c r="C14" s="876"/>
    </row>
    <row r="15">
      <c r="C15" s="877"/>
    </row>
    <row r="16">
      <c r="C16" s="878"/>
    </row>
    <row r="17">
      <c r="C17" s="879"/>
    </row>
    <row r="18">
      <c r="C18" s="880"/>
    </row>
    <row r="19">
      <c r="C19" s="881"/>
    </row>
  </sheetData>
  <mergeCells count="4">
    <mergeCell ref="A3:N3"/>
    <mergeCell ref="A5:N5"/>
    <mergeCell ref="C6:F6"/>
    <mergeCell ref="H6:N6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P22"/>
  <sheetFormatPr defaultRowHeight="15"/>
  <sheetData>
    <row r="1">
      <c r="A1" s="1879"/>
      <c r="B1" s="1880"/>
      <c r="C1" s="1881"/>
      <c r="D1" s="1882"/>
      <c r="E1" s="1883"/>
      <c r="F1" s="1884"/>
      <c r="G1" s="1885"/>
      <c r="H1" s="1886"/>
      <c r="I1" s="1887"/>
      <c r="J1" s="1888"/>
      <c r="K1" s="1889"/>
      <c r="L1" s="1890"/>
      <c r="M1" s="1891"/>
      <c r="N1" s="1892"/>
      <c r="O1" s="1893"/>
      <c r="P1" s="1894"/>
    </row>
    <row r="2">
      <c r="A2" s="1895"/>
      <c r="B2" s="1896"/>
      <c r="C2" s="1897"/>
      <c r="D2" s="1898"/>
      <c r="E2" s="1899"/>
      <c r="F2" s="1900"/>
      <c r="G2" s="1901"/>
      <c r="H2" s="1902"/>
      <c r="I2" s="1903"/>
      <c r="J2" s="1904"/>
      <c r="K2" s="1905"/>
      <c r="L2" s="1906"/>
      <c r="M2" s="1907"/>
      <c r="N2" s="1908"/>
      <c r="O2" s="1909"/>
      <c r="P2" s="1910"/>
    </row>
    <row r="3">
      <c r="A3" s="1911" t="s">
        <v>24</v>
      </c>
      <c r="B3" s="1912"/>
      <c r="C3" s="1913"/>
      <c r="D3" s="1914"/>
      <c r="E3" s="1915"/>
      <c r="F3" s="1916"/>
      <c r="G3" s="1917"/>
      <c r="H3" s="1918"/>
      <c r="I3" s="1919"/>
      <c r="J3" s="1920"/>
      <c r="K3" s="1921"/>
      <c r="L3" s="1922"/>
      <c r="M3" s="1923"/>
      <c r="N3" s="1924"/>
      <c r="O3" s="1925"/>
      <c r="P3" s="1926"/>
    </row>
    <row r="4">
      <c r="A4" s="1927"/>
      <c r="B4" s="1928"/>
      <c r="C4" s="1929"/>
      <c r="D4" s="1930"/>
      <c r="E4" s="1931"/>
      <c r="F4" s="1932"/>
      <c r="G4" s="1933"/>
      <c r="H4" s="1934"/>
      <c r="I4" s="1935"/>
      <c r="J4" s="1936"/>
      <c r="K4" s="1937"/>
      <c r="L4" s="1938"/>
      <c r="M4" s="1939"/>
      <c r="N4" s="1940"/>
      <c r="O4" s="1941"/>
      <c r="P4" s="1942"/>
    </row>
    <row r="5">
      <c r="A5" s="1943" t="s">
        <v>85</v>
      </c>
      <c r="B5" s="1944"/>
      <c r="C5" s="1945"/>
      <c r="D5" s="1946"/>
      <c r="E5" s="1947"/>
      <c r="F5" s="1948"/>
      <c r="G5" s="1949"/>
      <c r="H5" s="1950"/>
      <c r="I5" s="1951"/>
      <c r="J5" s="1952"/>
      <c r="K5" s="1953"/>
      <c r="L5" s="1954"/>
      <c r="M5" s="1955"/>
      <c r="N5" s="1956"/>
      <c r="O5" s="1957"/>
      <c r="P5" s="1958"/>
    </row>
    <row r="6">
      <c r="A6" s="1959"/>
      <c r="B6" s="1960"/>
      <c r="C6" s="1961"/>
      <c r="D6" s="1962" t="s">
        <v>111</v>
      </c>
      <c r="E6" s="1963"/>
      <c r="F6" s="1964"/>
      <c r="G6" s="1965"/>
      <c r="H6" s="1966"/>
      <c r="I6" s="1967"/>
      <c r="J6" s="1968"/>
      <c r="K6" s="1969"/>
      <c r="L6" s="1970"/>
      <c r="M6" s="1971"/>
      <c r="N6" s="1972"/>
      <c r="O6" s="1973"/>
      <c r="P6" s="1974" t="s">
        <v>110</v>
      </c>
    </row>
    <row r="7">
      <c r="A7" s="1975"/>
      <c r="B7" s="1976"/>
      <c r="C7" s="1977"/>
      <c r="D7" s="1978" t="s">
        <v>98</v>
      </c>
      <c r="E7" s="1979" t="s">
        <v>99</v>
      </c>
      <c r="F7" s="1980" t="s">
        <v>100</v>
      </c>
      <c r="G7" s="1981" t="s">
        <v>101</v>
      </c>
      <c r="H7" s="1982" t="s">
        <v>102</v>
      </c>
      <c r="I7" s="1983" t="s">
        <v>103</v>
      </c>
      <c r="J7" s="1984" t="s">
        <v>104</v>
      </c>
      <c r="K7" s="1985" t="s">
        <v>105</v>
      </c>
      <c r="L7" s="1986" t="s">
        <v>106</v>
      </c>
      <c r="M7" s="1987" t="s">
        <v>107</v>
      </c>
      <c r="N7" s="1988" t="s">
        <v>108</v>
      </c>
      <c r="O7" s="1989" t="s">
        <v>109</v>
      </c>
      <c r="P7" s="1990"/>
    </row>
    <row r="8">
      <c r="A8" s="1991" t="s">
        <v>112</v>
      </c>
      <c r="B8" s="1992" t="s">
        <v>86</v>
      </c>
      <c r="C8" s="1993" t="s">
        <v>98</v>
      </c>
      <c r="D8" s="1994">
        <v>0</v>
      </c>
      <c r="E8" s="1995">
        <v>0</v>
      </c>
      <c r="F8" s="1996">
        <v>0</v>
      </c>
      <c r="G8" s="1997">
        <v>1</v>
      </c>
      <c r="H8" s="1998">
        <v>0</v>
      </c>
      <c r="I8" s="1999">
        <v>1</v>
      </c>
      <c r="J8" s="2000">
        <v>0</v>
      </c>
      <c r="K8" s="2001">
        <v>0</v>
      </c>
      <c r="L8" s="2002">
        <v>0</v>
      </c>
      <c r="M8" s="2003">
        <v>0</v>
      </c>
      <c r="N8" s="2004">
        <v>1</v>
      </c>
      <c r="O8" s="2005">
        <v>0</v>
      </c>
      <c r="P8" s="2006">
        <f>sum(D8:O8)</f>
      </c>
    </row>
    <row r="9">
      <c r="A9" s="2007"/>
      <c r="B9" s="2008" t="s">
        <v>87</v>
      </c>
      <c r="C9" s="2009" t="s">
        <v>99</v>
      </c>
      <c r="D9" s="2010">
        <v>0</v>
      </c>
      <c r="E9" s="2011">
        <v>6</v>
      </c>
      <c r="F9" s="2012">
        <v>0</v>
      </c>
      <c r="G9" s="2013">
        <v>1</v>
      </c>
      <c r="H9" s="2014">
        <v>2</v>
      </c>
      <c r="I9" s="2015">
        <v>0</v>
      </c>
      <c r="J9" s="2016">
        <v>2</v>
      </c>
      <c r="K9" s="2017">
        <v>0</v>
      </c>
      <c r="L9" s="2018">
        <v>0</v>
      </c>
      <c r="M9" s="2019">
        <v>0</v>
      </c>
      <c r="N9" s="2020">
        <v>1</v>
      </c>
      <c r="O9" s="2021">
        <v>0</v>
      </c>
      <c r="P9" s="2022">
        <f>sum(D9:O9)</f>
      </c>
    </row>
    <row r="10">
      <c r="A10" s="2023"/>
      <c r="B10" s="2024" t="s">
        <v>88</v>
      </c>
      <c r="C10" s="2025" t="s">
        <v>100</v>
      </c>
      <c r="D10" s="2026">
        <v>0</v>
      </c>
      <c r="E10" s="2027">
        <v>0</v>
      </c>
      <c r="F10" s="2028">
        <v>0</v>
      </c>
      <c r="G10" s="2029">
        <v>0</v>
      </c>
      <c r="H10" s="2030">
        <v>0</v>
      </c>
      <c r="I10" s="2031">
        <v>3</v>
      </c>
      <c r="J10" s="2032">
        <v>0</v>
      </c>
      <c r="K10" s="2033">
        <v>0</v>
      </c>
      <c r="L10" s="2034">
        <v>0</v>
      </c>
      <c r="M10" s="2035">
        <v>0</v>
      </c>
      <c r="N10" s="2036">
        <v>1</v>
      </c>
      <c r="O10" s="2037">
        <v>0</v>
      </c>
      <c r="P10" s="2038">
        <f>sum(D10:O10)</f>
      </c>
    </row>
    <row r="11">
      <c r="A11" s="2039"/>
      <c r="B11" s="2040" t="s">
        <v>89</v>
      </c>
      <c r="C11" s="2041" t="s">
        <v>101</v>
      </c>
      <c r="D11" s="2042">
        <v>0</v>
      </c>
      <c r="E11" s="2043">
        <v>0</v>
      </c>
      <c r="F11" s="2044">
        <v>0</v>
      </c>
      <c r="G11" s="2045">
        <v>23</v>
      </c>
      <c r="H11" s="2046">
        <v>10</v>
      </c>
      <c r="I11" s="2047">
        <v>0</v>
      </c>
      <c r="J11" s="2048">
        <v>19</v>
      </c>
      <c r="K11" s="2049">
        <v>0</v>
      </c>
      <c r="L11" s="2050">
        <v>13</v>
      </c>
      <c r="M11" s="2051">
        <v>5</v>
      </c>
      <c r="N11" s="2052">
        <v>32</v>
      </c>
      <c r="O11" s="2053">
        <v>0</v>
      </c>
      <c r="P11" s="2054">
        <f>sum(D11:O11)</f>
      </c>
    </row>
    <row r="12">
      <c r="A12" s="2055"/>
      <c r="B12" s="2056" t="s">
        <v>90</v>
      </c>
      <c r="C12" s="2057" t="s">
        <v>102</v>
      </c>
      <c r="D12" s="2058">
        <v>0</v>
      </c>
      <c r="E12" s="2059">
        <v>4</v>
      </c>
      <c r="F12" s="2060">
        <v>2</v>
      </c>
      <c r="G12" s="2061">
        <v>12</v>
      </c>
      <c r="H12" s="2062">
        <v>110</v>
      </c>
      <c r="I12" s="2063">
        <v>16</v>
      </c>
      <c r="J12" s="2064">
        <v>30</v>
      </c>
      <c r="K12" s="2065">
        <v>3</v>
      </c>
      <c r="L12" s="2066">
        <v>42</v>
      </c>
      <c r="M12" s="2067">
        <v>109</v>
      </c>
      <c r="N12" s="2068">
        <v>43</v>
      </c>
      <c r="O12" s="2069">
        <v>7</v>
      </c>
      <c r="P12" s="2070">
        <f>sum(D12:O12)</f>
      </c>
    </row>
    <row r="13">
      <c r="A13" s="2071"/>
      <c r="B13" s="2072" t="s">
        <v>91</v>
      </c>
      <c r="C13" s="2073" t="s">
        <v>103</v>
      </c>
      <c r="D13" s="2074">
        <v>0</v>
      </c>
      <c r="E13" s="2075">
        <v>3</v>
      </c>
      <c r="F13" s="2076">
        <v>2</v>
      </c>
      <c r="G13" s="2077">
        <v>0</v>
      </c>
      <c r="H13" s="2078">
        <v>3</v>
      </c>
      <c r="I13" s="2079">
        <v>28</v>
      </c>
      <c r="J13" s="2080">
        <v>3</v>
      </c>
      <c r="K13" s="2081">
        <v>0</v>
      </c>
      <c r="L13" s="2082">
        <v>2</v>
      </c>
      <c r="M13" s="2083">
        <v>29</v>
      </c>
      <c r="N13" s="2084">
        <v>9</v>
      </c>
      <c r="O13" s="2085">
        <v>2</v>
      </c>
      <c r="P13" s="2086">
        <f>sum(D13:O13)</f>
      </c>
    </row>
    <row r="14">
      <c r="A14" s="2087"/>
      <c r="B14" s="2088" t="s">
        <v>92</v>
      </c>
      <c r="C14" s="2089" t="s">
        <v>104</v>
      </c>
      <c r="D14" s="2090">
        <v>0</v>
      </c>
      <c r="E14" s="2091">
        <v>1</v>
      </c>
      <c r="F14" s="2092">
        <v>0</v>
      </c>
      <c r="G14" s="2093">
        <v>0</v>
      </c>
      <c r="H14" s="2094">
        <v>2</v>
      </c>
      <c r="I14" s="2095">
        <v>2</v>
      </c>
      <c r="J14" s="2096">
        <v>15</v>
      </c>
      <c r="K14" s="2097">
        <v>1</v>
      </c>
      <c r="L14" s="2098">
        <v>1</v>
      </c>
      <c r="M14" s="2099">
        <v>7</v>
      </c>
      <c r="N14" s="2100">
        <v>5</v>
      </c>
      <c r="O14" s="2101">
        <v>0</v>
      </c>
      <c r="P14" s="2102">
        <f>sum(D14:O14)</f>
      </c>
    </row>
    <row r="15">
      <c r="A15" s="2103"/>
      <c r="B15" s="2104" t="s">
        <v>93</v>
      </c>
      <c r="C15" s="2105" t="s">
        <v>105</v>
      </c>
      <c r="D15" s="2106">
        <v>0</v>
      </c>
      <c r="E15" s="2107">
        <v>0</v>
      </c>
      <c r="F15" s="2108">
        <v>0</v>
      </c>
      <c r="G15" s="2109">
        <v>0</v>
      </c>
      <c r="H15" s="2110">
        <v>4</v>
      </c>
      <c r="I15" s="2111">
        <v>3</v>
      </c>
      <c r="J15" s="2112">
        <v>9</v>
      </c>
      <c r="K15" s="2113">
        <v>1</v>
      </c>
      <c r="L15" s="2114">
        <v>5</v>
      </c>
      <c r="M15" s="2115">
        <v>10</v>
      </c>
      <c r="N15" s="2116">
        <v>3</v>
      </c>
      <c r="O15" s="2117">
        <v>2</v>
      </c>
      <c r="P15" s="2118">
        <f>sum(D15:O15)</f>
      </c>
    </row>
    <row r="16">
      <c r="A16" s="2119"/>
      <c r="B16" s="2120" t="s">
        <v>94</v>
      </c>
      <c r="C16" s="2121" t="s">
        <v>106</v>
      </c>
      <c r="D16" s="2122">
        <v>0</v>
      </c>
      <c r="E16" s="2123">
        <v>0</v>
      </c>
      <c r="F16" s="2124">
        <v>0</v>
      </c>
      <c r="G16" s="2125">
        <v>0</v>
      </c>
      <c r="H16" s="2126">
        <v>1</v>
      </c>
      <c r="I16" s="2127">
        <v>0</v>
      </c>
      <c r="J16" s="2128">
        <v>2</v>
      </c>
      <c r="K16" s="2129">
        <v>0</v>
      </c>
      <c r="L16" s="2130">
        <v>19</v>
      </c>
      <c r="M16" s="2131">
        <v>18</v>
      </c>
      <c r="N16" s="2132">
        <v>5</v>
      </c>
      <c r="O16" s="2133">
        <v>3</v>
      </c>
      <c r="P16" s="2134">
        <f>sum(D16:O16)</f>
      </c>
    </row>
    <row r="17">
      <c r="A17" s="2135"/>
      <c r="B17" s="2136" t="s">
        <v>95</v>
      </c>
      <c r="C17" s="2137" t="s">
        <v>107</v>
      </c>
      <c r="D17" s="2138">
        <v>0</v>
      </c>
      <c r="E17" s="2139">
        <v>0</v>
      </c>
      <c r="F17" s="2140">
        <v>0</v>
      </c>
      <c r="G17" s="2141">
        <v>0</v>
      </c>
      <c r="H17" s="2142">
        <v>25</v>
      </c>
      <c r="I17" s="2143">
        <v>8</v>
      </c>
      <c r="J17" s="2144">
        <v>9</v>
      </c>
      <c r="K17" s="2145">
        <v>3</v>
      </c>
      <c r="L17" s="2146">
        <v>25</v>
      </c>
      <c r="M17" s="2147">
        <v>231</v>
      </c>
      <c r="N17" s="2148">
        <v>24</v>
      </c>
      <c r="O17" s="2149">
        <v>2</v>
      </c>
      <c r="P17" s="2150">
        <f>sum(D17:O17)</f>
      </c>
    </row>
    <row r="18">
      <c r="A18" s="2151"/>
      <c r="B18" s="2152" t="s">
        <v>96</v>
      </c>
      <c r="C18" s="2153" t="s">
        <v>108</v>
      </c>
      <c r="D18" s="2154">
        <v>0</v>
      </c>
      <c r="E18" s="2155">
        <v>0</v>
      </c>
      <c r="F18" s="2156">
        <v>0</v>
      </c>
      <c r="G18" s="2157">
        <v>0</v>
      </c>
      <c r="H18" s="2158">
        <v>1</v>
      </c>
      <c r="I18" s="2159">
        <v>2</v>
      </c>
      <c r="J18" s="2160">
        <v>2</v>
      </c>
      <c r="K18" s="2161">
        <v>0</v>
      </c>
      <c r="L18" s="2162">
        <v>2</v>
      </c>
      <c r="M18" s="2163">
        <v>7</v>
      </c>
      <c r="N18" s="2164">
        <v>14</v>
      </c>
      <c r="O18" s="2165">
        <v>0</v>
      </c>
      <c r="P18" s="2166">
        <f>sum(D18:O18)</f>
      </c>
    </row>
    <row r="19">
      <c r="A19" s="2167"/>
      <c r="B19" s="2168" t="s">
        <v>97</v>
      </c>
      <c r="C19" s="2169" t="s">
        <v>109</v>
      </c>
      <c r="D19" s="2170">
        <v>0</v>
      </c>
      <c r="E19" s="2171">
        <v>0</v>
      </c>
      <c r="F19" s="2172">
        <v>0</v>
      </c>
      <c r="G19" s="2173">
        <v>3</v>
      </c>
      <c r="H19" s="2174">
        <v>4</v>
      </c>
      <c r="I19" s="2175">
        <v>5</v>
      </c>
      <c r="J19" s="2176">
        <v>1</v>
      </c>
      <c r="K19" s="2177">
        <v>0</v>
      </c>
      <c r="L19" s="2178">
        <v>3</v>
      </c>
      <c r="M19" s="2179">
        <v>15</v>
      </c>
      <c r="N19" s="2180">
        <v>7</v>
      </c>
      <c r="O19" s="2181">
        <v>0</v>
      </c>
      <c r="P19" s="2182">
        <f>sum(D19:O19)</f>
      </c>
    </row>
    <row r="20">
      <c r="A20" s="2183"/>
      <c r="B20" s="2184"/>
      <c r="C20" s="2185"/>
      <c r="D20" s="2186">
        <f>sum(D8:D19)</f>
      </c>
      <c r="E20" s="2187">
        <f>sum(E8:E19)</f>
      </c>
      <c r="F20" s="2188">
        <f>sum(F8:F19)</f>
      </c>
      <c r="G20" s="2189">
        <f>sum(G8:G19)</f>
      </c>
      <c r="H20" s="2190">
        <f>sum(H8:H19)</f>
      </c>
      <c r="I20" s="2191">
        <f>sum(I8:I19)</f>
      </c>
      <c r="J20" s="2192">
        <f>sum(J8:J19)</f>
      </c>
      <c r="K20" s="2193">
        <f>sum(K8:K19)</f>
      </c>
      <c r="L20" s="2194">
        <f>sum(L8:L19)</f>
      </c>
      <c r="M20" s="2195">
        <f>sum(M8:M19)</f>
      </c>
      <c r="N20" s="2196">
        <f>sum(N8:N19)</f>
      </c>
      <c r="O20" s="2197">
        <f>sum(O8:O19)</f>
      </c>
      <c r="P20" s="2198">
        <f>sum(P8:P19)</f>
      </c>
    </row>
    <row r="21">
      <c r="A21" s="2199"/>
      <c r="B21" s="2200"/>
      <c r="C21" s="2201"/>
      <c r="D21" s="2202"/>
      <c r="E21" s="2203"/>
      <c r="F21" s="2204"/>
      <c r="G21" s="2205"/>
      <c r="H21" s="2206"/>
      <c r="I21" s="2207"/>
      <c r="J21" s="2208"/>
      <c r="K21" s="2209"/>
      <c r="L21" s="2210"/>
      <c r="M21" s="2211"/>
      <c r="N21" s="2212"/>
      <c r="O21" s="2213"/>
      <c r="P21" s="2214"/>
    </row>
    <row r="22">
      <c r="A22" s="2215"/>
      <c r="B22" s="2216"/>
      <c r="C22" s="2217"/>
      <c r="D22" s="2218"/>
      <c r="E22" s="2219"/>
      <c r="F22" s="2220"/>
      <c r="G22" s="2221"/>
      <c r="H22" s="2222"/>
      <c r="I22" s="2223"/>
      <c r="J22" s="2224"/>
      <c r="K22" s="2225"/>
      <c r="L22" s="2226"/>
      <c r="M22" s="2227"/>
      <c r="N22" s="2228"/>
      <c r="O22" s="2229"/>
      <c r="P22" s="2230"/>
    </row>
  </sheetData>
  <mergeCells count="4">
    <mergeCell ref="A3:P3"/>
    <mergeCell ref="A5:P5"/>
    <mergeCell ref="D6:O6"/>
    <mergeCell ref="A8:A19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FormatPr defaultRowHeight="15"/>
  <sheetData>
    <row r="1">
      <c r="A1" s="2421"/>
      <c r="B1" s="2422"/>
      <c r="C1" s="2423"/>
      <c r="D1" s="2424"/>
      <c r="E1" s="2425"/>
      <c r="F1" s="2426"/>
    </row>
    <row r="2">
      <c r="A2" s="2427"/>
      <c r="B2" s="2428"/>
      <c r="C2" s="2429"/>
      <c r="D2" s="2430"/>
      <c r="E2" s="2431"/>
      <c r="F2" s="2432"/>
    </row>
    <row r="3">
      <c r="A3" s="2433" t="s">
        <v>121</v>
      </c>
      <c r="B3" s="2434"/>
      <c r="C3" s="2435"/>
      <c r="D3" s="2436"/>
      <c r="E3" s="2437"/>
      <c r="F3" s="2438"/>
    </row>
    <row r="4">
      <c r="A4" s="2439"/>
      <c r="B4" s="2440"/>
      <c r="C4" s="2441"/>
      <c r="D4" s="2442"/>
      <c r="E4" s="2443"/>
      <c r="F4" s="2444"/>
    </row>
    <row r="5">
      <c r="A5" s="2445" t="s">
        <v>113</v>
      </c>
      <c r="B5" s="2446"/>
      <c r="C5" s="2447"/>
      <c r="D5" s="2448"/>
      <c r="E5" s="2449"/>
      <c r="F5" s="2450"/>
    </row>
    <row r="6">
      <c r="A6" s="2451" t="s">
        <v>1</v>
      </c>
      <c r="B6" s="2452"/>
      <c r="C6" s="2453">
        <v>201</v>
      </c>
      <c r="D6" s="2454"/>
      <c r="E6" s="2455">
        <v>627</v>
      </c>
      <c r="F6" s="2456"/>
    </row>
    <row r="7">
      <c r="A7" s="2457" t="s">
        <v>2</v>
      </c>
      <c r="B7" s="2458"/>
      <c r="C7" s="2459" t="s">
        <v>3</v>
      </c>
      <c r="D7" s="2460"/>
      <c r="E7" s="2461" t="s">
        <v>4</v>
      </c>
      <c r="F7" s="2462"/>
    </row>
    <row r="8">
      <c r="A8" s="2463"/>
      <c r="B8" s="2464"/>
      <c r="C8" s="2465" t="s">
        <v>6</v>
      </c>
      <c r="D8" s="2466" t="s">
        <v>114</v>
      </c>
      <c r="E8" s="2467" t="s">
        <v>6</v>
      </c>
      <c r="F8" s="2468" t="s">
        <v>114</v>
      </c>
    </row>
    <row r="9">
      <c r="A9" s="2469" t="s">
        <v>115</v>
      </c>
      <c r="B9" s="2470" t="s">
        <v>98</v>
      </c>
      <c r="C9" s="2471">
        <v>0.30388658797711282</v>
      </c>
      <c r="D9" s="2472">
        <v>0.17885786211145591</v>
      </c>
      <c r="E9" s="2473">
        <v>0.28556657065466601</v>
      </c>
      <c r="F9" s="2474">
        <v>0.13413556725921921</v>
      </c>
    </row>
    <row r="10">
      <c r="A10" s="2475" t="s">
        <v>116</v>
      </c>
      <c r="B10" s="2476" t="s">
        <v>99</v>
      </c>
      <c r="C10" s="2477">
        <v>0.25574071906432883</v>
      </c>
      <c r="D10" s="2478">
        <v>0.18741543502640001</v>
      </c>
      <c r="E10" s="2479">
        <v>0.28044075819075498</v>
      </c>
      <c r="F10" s="2480">
        <v>0.19362243436953791</v>
      </c>
    </row>
    <row r="11">
      <c r="A11" s="2481"/>
      <c r="B11" s="2482"/>
      <c r="C11" s="2483"/>
      <c r="D11" s="2484"/>
      <c r="E11" s="2485"/>
      <c r="F11" s="2486"/>
    </row>
    <row r="12">
      <c r="A12" s="2487" t="s">
        <v>117</v>
      </c>
      <c r="B12" s="2488" t="s">
        <v>118</v>
      </c>
      <c r="C12" s="2489">
        <f>.2557407190643288 - .3038865879771128</f>
      </c>
      <c r="D12" s="2490">
        <f>IF(.0039001085731583&gt;=0.10,"",IF(.0039001085731583&gt;=0.05,"*",IF(.0039001085731583&gt;=0.01,"**",IF(.0039001085731583&gt;=0,"***",""))))</f>
      </c>
      <c r="E12" s="2491">
        <f>.280440758190755 - .285566570654666</f>
      </c>
      <c r="F12" s="2492">
        <f>IF(.5417763786425951&gt;=0.10,"",IF(.5417763786425951&gt;=0.05,"*",IF(.5417763786425951&gt;=0.01,"**",IF(.5417763786425951&gt;=0,"***",""))))</f>
      </c>
    </row>
    <row r="13">
      <c r="A13" s="2493" t="s">
        <v>119</v>
      </c>
      <c r="B13" s="2494"/>
      <c r="C13" s="2495">
        <v>0.0039001085731583001</v>
      </c>
      <c r="D13" s="2496"/>
      <c r="E13" s="2497">
        <v>0.54177637864259509</v>
      </c>
      <c r="F13" s="2498"/>
    </row>
    <row r="14">
      <c r="A14" s="2499"/>
      <c r="B14" s="2500"/>
      <c r="C14" s="2501"/>
      <c r="D14" s="2502"/>
      <c r="E14" s="2503"/>
      <c r="F14" s="2504"/>
    </row>
    <row r="15">
      <c r="A15" s="2505" t="s">
        <v>120</v>
      </c>
      <c r="B15" s="2506"/>
      <c r="C15" s="2507">
        <f>-.048145868912784 - -.005125812463911</f>
      </c>
      <c r="D15" s="2508"/>
      <c r="E15" s="2509">
        <f>IF(.0142867102349716&gt;=0.10,"",IF(.0142867102349716&gt;=0.05,"*",IF(.0142867102349716&gt;=0.01,"**",IF(.0142867102349716&gt;=0,"***",""))))</f>
      </c>
      <c r="F15" s="2510"/>
    </row>
    <row r="16">
      <c r="A16" s="2511" t="s">
        <v>119</v>
      </c>
      <c r="B16" s="2512"/>
      <c r="C16" s="2513">
        <v>0.014286710234971601</v>
      </c>
      <c r="D16" s="2514"/>
      <c r="E16" s="2515"/>
      <c r="F16" s="2516"/>
    </row>
  </sheetData>
  <mergeCells count="11">
    <mergeCell ref="A5:F5"/>
    <mergeCell ref="C6:D6"/>
    <mergeCell ref="E6:F6"/>
    <mergeCell ref="C7:D7"/>
    <mergeCell ref="E7:F7"/>
    <mergeCell ref="C13:D13"/>
    <mergeCell ref="E13:F13"/>
    <mergeCell ref="C15:D15"/>
    <mergeCell ref="E15:F15"/>
    <mergeCell ref="C16:F16"/>
    <mergeCell ref="A3:F3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FormatPr defaultRowHeight="15"/>
  <sheetData>
    <row r="1">
      <c r="A1" s="2611"/>
      <c r="B1" s="2612"/>
      <c r="C1" s="2613"/>
      <c r="D1" s="2614"/>
      <c r="E1" s="2615"/>
      <c r="F1" s="2616"/>
    </row>
    <row r="2">
      <c r="A2" s="2617"/>
      <c r="B2" s="2618"/>
      <c r="C2" s="2619"/>
      <c r="D2" s="2620"/>
      <c r="E2" s="2621"/>
      <c r="F2" s="2622"/>
    </row>
    <row r="3">
      <c r="A3" s="2623" t="s">
        <v>128</v>
      </c>
      <c r="B3" s="2624"/>
      <c r="C3" s="2625"/>
      <c r="D3" s="2626"/>
      <c r="E3" s="2627"/>
      <c r="F3" s="2628"/>
    </row>
    <row r="4">
      <c r="A4" s="2629"/>
      <c r="B4" s="2630"/>
      <c r="C4" s="2631"/>
      <c r="D4" s="2632"/>
      <c r="E4" s="2633"/>
      <c r="F4" s="2634"/>
    </row>
    <row r="5">
      <c r="A5" s="2635" t="s">
        <v>122</v>
      </c>
      <c r="B5" s="2636"/>
      <c r="C5" s="2637"/>
      <c r="D5" s="2638"/>
      <c r="E5" s="2639"/>
      <c r="F5" s="2640"/>
    </row>
    <row r="6">
      <c r="A6" s="2641" t="s">
        <v>2</v>
      </c>
      <c r="B6" s="2642" t="s">
        <v>123</v>
      </c>
      <c r="C6" s="2643" t="s">
        <v>124</v>
      </c>
      <c r="D6" s="2644" t="s">
        <v>125</v>
      </c>
      <c r="E6" s="2645"/>
      <c r="F6" s="2646" t="s">
        <v>119</v>
      </c>
    </row>
    <row r="7">
      <c r="A7" s="2647" t="s">
        <v>126</v>
      </c>
      <c r="B7" s="2648">
        <v>0.95894997989508646</v>
      </c>
      <c r="C7" s="2649">
        <v>1.0871305478858559</v>
      </c>
      <c r="D7" s="2650">
        <f>B7-C7</f>
      </c>
      <c r="E7" s="2651">
        <f>IF(.0422125121299145&gt;=0.10,"",IF(.0422125121299145&gt;=0.05,"*",IF(.0422125121299145&gt;=0.01,"**",IF(.0422125121299145&gt;=0,"***",""))))</f>
      </c>
      <c r="F7" s="2652">
        <v>0.042212512129914503</v>
      </c>
    </row>
    <row r="8">
      <c r="A8" s="2653" t="s">
        <v>127</v>
      </c>
      <c r="B8" s="2654">
        <v>0.899455726146698</v>
      </c>
      <c r="C8" s="2655">
        <v>0.95541501045227051</v>
      </c>
      <c r="D8" s="2656">
        <f>B8-C8</f>
      </c>
      <c r="E8" s="2657">
        <f>IF(.0934773247924814&gt;=0.10,"",IF(.0934773247924814&gt;=0.05,"*",IF(.0934773247924814&gt;=0.01,"**",IF(.0934773247924814&gt;=0,"***",""))))</f>
      </c>
      <c r="F8" s="2658">
        <v>0.0934773247924814</v>
      </c>
    </row>
  </sheetData>
  <mergeCells count="3">
    <mergeCell ref="A5:F5"/>
    <mergeCell ref="D6:E6"/>
    <mergeCell ref="A3:F3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FormatPr defaultRowHeight="15"/>
  <sheetData>
    <row r="1">
      <c r="A1" s="2935"/>
      <c r="B1" s="2936"/>
      <c r="C1" s="2937"/>
      <c r="D1" s="2938"/>
      <c r="E1" s="2939"/>
      <c r="F1" s="2940"/>
      <c r="G1" s="2941"/>
      <c r="H1" s="2942"/>
    </row>
    <row r="2">
      <c r="A2" s="2943"/>
      <c r="B2" s="2944"/>
      <c r="C2" s="2945"/>
      <c r="D2" s="2946"/>
      <c r="E2" s="2947"/>
      <c r="F2" s="2948"/>
      <c r="G2" s="2949"/>
      <c r="H2" s="2950"/>
    </row>
    <row r="3">
      <c r="A3" s="2951" t="s">
        <v>140</v>
      </c>
      <c r="B3" s="2952"/>
      <c r="C3" s="2953"/>
      <c r="D3" s="2954"/>
      <c r="E3" s="2955"/>
      <c r="F3" s="2956"/>
      <c r="G3" s="2957"/>
      <c r="H3" s="2958"/>
    </row>
    <row r="4">
      <c r="A4" s="2959"/>
      <c r="B4" s="2960"/>
      <c r="C4" s="2961"/>
      <c r="D4" s="2962"/>
      <c r="E4" s="2963"/>
      <c r="F4" s="2964"/>
      <c r="G4" s="2965"/>
      <c r="H4" s="2966"/>
    </row>
    <row r="5">
      <c r="A5" s="2967" t="s">
        <v>129</v>
      </c>
      <c r="B5" s="2968"/>
      <c r="C5" s="2969"/>
      <c r="D5" s="2970"/>
      <c r="E5" s="2971"/>
      <c r="F5" s="2972"/>
      <c r="G5" s="2973"/>
      <c r="H5" s="2974"/>
    </row>
    <row r="6">
      <c r="A6" s="2975" t="s">
        <v>130</v>
      </c>
      <c r="B6" s="2976" t="s">
        <v>116</v>
      </c>
      <c r="C6" s="2977"/>
      <c r="D6" s="2978"/>
      <c r="E6" s="2979"/>
      <c r="F6" s="2980" t="s">
        <v>9</v>
      </c>
      <c r="G6" s="2981"/>
      <c r="H6" s="2982"/>
    </row>
    <row r="7">
      <c r="A7" s="2983"/>
      <c r="B7" s="2984" t="s">
        <v>131</v>
      </c>
      <c r="C7" s="2985"/>
      <c r="D7" s="2986" t="s">
        <v>119</v>
      </c>
      <c r="E7" s="2987"/>
      <c r="F7" s="2988" t="s">
        <v>131</v>
      </c>
      <c r="G7" s="2989"/>
      <c r="H7" s="2990" t="s">
        <v>119</v>
      </c>
    </row>
    <row r="8">
      <c r="A8" s="2991" t="s">
        <v>2</v>
      </c>
      <c r="B8" s="2992">
        <v>-0.027327345663785502</v>
      </c>
      <c r="C8" s="2993">
        <f>IF(.0469910666491409&gt;=0.10,"",IF(.0469910666491409&gt;=0.05,"*",IF(.0469910666491409&gt;=0.01,"**",IF(.0469910666491409&gt;=0,"***",""))))</f>
      </c>
      <c r="D8" s="2994">
        <v>0.046991066649140899</v>
      </c>
      <c r="E8" s="2995"/>
      <c r="F8" s="2996">
        <v>-0.13342072936894639</v>
      </c>
      <c r="G8" s="2997">
        <f>IF(.0121408154575025&gt;=0.10,"",IF(.0121408154575025&gt;=0.05,"*",IF(.0121408154575025&gt;=0.01,"**",IF(.0121408154575025&gt;=0,"***",""))))</f>
      </c>
      <c r="H8" s="2998">
        <v>0.0121408154575025</v>
      </c>
    </row>
    <row r="9">
      <c r="A9" s="2999"/>
      <c r="B9" s="3000"/>
      <c r="C9" s="3001"/>
      <c r="D9" s="3002"/>
      <c r="E9" s="3003"/>
      <c r="F9" s="3004"/>
      <c r="G9" s="3005"/>
      <c r="H9" s="3006"/>
    </row>
    <row r="10">
      <c r="A10" s="3007" t="s">
        <v>36</v>
      </c>
      <c r="B10" s="3008">
        <v>-0.053815835897310198</v>
      </c>
      <c r="C10" s="3009">
        <f>IF(.2478744402645812&gt;=0.10,"",IF(.2478744402645812&gt;=0.05,"*",IF(.2478744402645812&gt;=0.01,"**",IF(.2478744402645812&gt;=0,"***",""))))</f>
      </c>
      <c r="D10" s="3010">
        <v>0.24787444026458119</v>
      </c>
      <c r="E10" s="3011"/>
      <c r="F10" s="3012">
        <v>-0.23172110646690561</v>
      </c>
      <c r="G10" s="3013">
        <f>IF(.166333626106083&gt;=0.10,"",IF(.166333626106083&gt;=0.05,"*",IF(.166333626106083&gt;=0.01,"**",IF(.166333626106083&gt;=0,"***",""))))</f>
      </c>
      <c r="H10" s="3014">
        <v>0.16633362610608299</v>
      </c>
    </row>
    <row r="11">
      <c r="A11" s="3015" t="s">
        <v>33</v>
      </c>
      <c r="B11" s="3016">
        <v>-0.0048734713302510998</v>
      </c>
      <c r="C11" s="3017">
        <f>IF(.7471599597608116&gt;=0.10,"",IF(.7471599597608116&gt;=0.05,"*",IF(.7471599597608116&gt;=0.01,"**",IF(.7471599597608116&gt;=0,"***",""))))</f>
      </c>
      <c r="D11" s="3018">
        <v>0.74715995976081162</v>
      </c>
      <c r="E11" s="3019"/>
      <c r="F11" s="3020">
        <v>0.038892060769438401</v>
      </c>
      <c r="G11" s="3021">
        <f>IF(.5129092131011239&gt;=0.10,"",IF(.5129092131011239&gt;=0.05,"*",IF(.5129092131011239&gt;=0.01,"**",IF(.5129092131011239&gt;=0,"***",""))))</f>
      </c>
      <c r="H11" s="3022">
        <v>0.51290921310112392</v>
      </c>
    </row>
    <row r="12">
      <c r="A12" s="3023" t="s">
        <v>132</v>
      </c>
      <c r="B12" s="3024" t="s">
        <v>133</v>
      </c>
      <c r="C12" s="3025"/>
      <c r="D12" s="3026"/>
      <c r="E12" s="3027"/>
      <c r="F12" s="3028" t="s">
        <v>133</v>
      </c>
      <c r="G12" s="3029"/>
      <c r="H12" s="3030"/>
    </row>
    <row r="13">
      <c r="A13" s="3031" t="s">
        <v>134</v>
      </c>
      <c r="B13" s="3032" t="s">
        <v>133</v>
      </c>
      <c r="C13" s="3033"/>
      <c r="D13" s="3034"/>
      <c r="E13" s="3035"/>
      <c r="F13" s="3036" t="s">
        <v>133</v>
      </c>
      <c r="G13" s="3037"/>
      <c r="H13" s="3038"/>
    </row>
    <row r="14">
      <c r="A14" s="3039" t="s">
        <v>135</v>
      </c>
      <c r="B14" s="3040" t="s">
        <v>138</v>
      </c>
      <c r="C14" s="3041"/>
      <c r="D14" s="3042"/>
      <c r="E14" s="3043"/>
      <c r="F14" s="3044" t="s">
        <v>138</v>
      </c>
      <c r="G14" s="3045"/>
      <c r="H14" s="3046"/>
    </row>
    <row r="15">
      <c r="A15" s="3047" t="s">
        <v>136</v>
      </c>
      <c r="B15" s="3048" t="s">
        <v>139</v>
      </c>
      <c r="C15" s="3049"/>
      <c r="D15" s="3050"/>
      <c r="E15" s="3051"/>
      <c r="F15" s="3052" t="s">
        <v>139</v>
      </c>
      <c r="G15" s="3053"/>
      <c r="H15" s="3054"/>
    </row>
    <row r="16">
      <c r="A16" s="3055" t="s">
        <v>1</v>
      </c>
      <c r="B16" s="3056">
        <v>828</v>
      </c>
      <c r="C16" s="3057"/>
      <c r="D16" s="3058"/>
      <c r="E16" s="3059"/>
      <c r="F16" s="3060">
        <v>828</v>
      </c>
      <c r="G16" s="3061"/>
      <c r="H16" s="3062"/>
    </row>
    <row r="17">
      <c r="A17" s="3063" t="s">
        <v>137</v>
      </c>
      <c r="B17" s="3064">
        <v>0.1229590379468074</v>
      </c>
      <c r="C17" s="3065"/>
      <c r="D17" s="3066"/>
      <c r="E17" s="3067"/>
      <c r="F17" s="3068">
        <v>0.1210017807792705</v>
      </c>
      <c r="G17" s="3069"/>
      <c r="H17" s="3070"/>
    </row>
  </sheetData>
  <mergeCells count="26">
    <mergeCell ref="A5:H5"/>
    <mergeCell ref="B6:D6"/>
    <mergeCell ref="F6:H6"/>
    <mergeCell ref="B7:C7"/>
    <mergeCell ref="F7:G7"/>
    <mergeCell ref="A8:A9"/>
    <mergeCell ref="B8:B9"/>
    <mergeCell ref="C8:C9"/>
    <mergeCell ref="D8:D9"/>
    <mergeCell ref="E8:E9"/>
    <mergeCell ref="F8:F9"/>
    <mergeCell ref="G8:G9"/>
    <mergeCell ref="H8:H9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B17:D17"/>
    <mergeCell ref="F16:H16"/>
    <mergeCell ref="F17:H17"/>
    <mergeCell ref="A3:H3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H18"/>
  <sheetFormatPr defaultRowHeight="15"/>
  <sheetData>
    <row r="1">
      <c r="A1" s="3366"/>
      <c r="B1" s="3367"/>
      <c r="C1" s="3368"/>
      <c r="D1" s="3369"/>
      <c r="E1" s="3370"/>
      <c r="F1" s="3371"/>
      <c r="G1" s="3372"/>
      <c r="H1" s="3373"/>
    </row>
    <row r="2">
      <c r="A2" s="3374"/>
      <c r="B2" s="3375"/>
      <c r="C2" s="3376"/>
      <c r="D2" s="3377"/>
      <c r="E2" s="3378"/>
      <c r="F2" s="3379"/>
      <c r="G2" s="3380"/>
      <c r="H2" s="3381"/>
    </row>
    <row r="3">
      <c r="A3" s="3382" t="s">
        <v>152</v>
      </c>
      <c r="B3" s="3383"/>
      <c r="C3" s="3384"/>
      <c r="D3" s="3385"/>
      <c r="E3" s="3386"/>
      <c r="F3" s="3387"/>
      <c r="G3" s="3388"/>
      <c r="H3" s="3389"/>
    </row>
    <row r="4">
      <c r="A4" s="3390"/>
      <c r="B4" s="3391"/>
      <c r="C4" s="3392"/>
      <c r="D4" s="3393"/>
      <c r="E4" s="3394"/>
      <c r="F4" s="3395"/>
      <c r="G4" s="3396"/>
      <c r="H4" s="3397"/>
    </row>
    <row r="5">
      <c r="A5" s="3398" t="s">
        <v>141</v>
      </c>
      <c r="B5" s="3399"/>
      <c r="C5" s="3400"/>
      <c r="D5" s="3401"/>
      <c r="E5" s="3402"/>
      <c r="F5" s="3403"/>
      <c r="G5" s="3404"/>
      <c r="H5" s="3405"/>
    </row>
    <row r="6">
      <c r="A6" s="3406" t="s">
        <v>130</v>
      </c>
      <c r="B6" s="3407" t="s">
        <v>142</v>
      </c>
      <c r="C6" s="3408"/>
      <c r="D6" s="3409"/>
      <c r="E6" s="3410"/>
      <c r="F6" s="3411" t="s">
        <v>142</v>
      </c>
      <c r="G6" s="3412"/>
      <c r="H6" s="3413"/>
    </row>
    <row r="7">
      <c r="A7" s="3414" t="s">
        <v>143</v>
      </c>
      <c r="B7" s="3415" t="s">
        <v>144</v>
      </c>
      <c r="C7" s="3416"/>
      <c r="D7" s="3417"/>
      <c r="E7" s="3418"/>
      <c r="F7" s="3419" t="s">
        <v>144</v>
      </c>
      <c r="G7" s="3420"/>
      <c r="H7" s="3421"/>
    </row>
    <row r="8">
      <c r="A8" s="3422" t="s">
        <v>145</v>
      </c>
      <c r="B8" s="3423" t="s">
        <v>146</v>
      </c>
      <c r="C8" s="3424"/>
      <c r="D8" s="3425"/>
      <c r="E8" s="3426"/>
      <c r="F8" s="3427" t="s">
        <v>147</v>
      </c>
      <c r="G8" s="3428"/>
      <c r="H8" s="3429"/>
    </row>
    <row r="9">
      <c r="A9" s="3430"/>
      <c r="B9" s="3431" t="s">
        <v>131</v>
      </c>
      <c r="C9" s="3432"/>
      <c r="D9" s="3433" t="s">
        <v>119</v>
      </c>
      <c r="E9" s="3434"/>
      <c r="F9" s="3435" t="s">
        <v>131</v>
      </c>
      <c r="G9" s="3436"/>
      <c r="H9" s="3437" t="s">
        <v>119</v>
      </c>
    </row>
    <row r="10">
      <c r="A10" s="3438" t="s">
        <v>148</v>
      </c>
      <c r="B10" s="3439">
        <v>0.018893018345261199</v>
      </c>
      <c r="C10" s="3440">
        <f>IF(.2957178781489676&gt;=0.10,"",IF(.2957178781489676&gt;=0.05,"*",IF(.2957178781489676&gt;=0.01,"**",IF(.2957178781489676&gt;=0,"***",""))))</f>
      </c>
      <c r="D10" s="3441">
        <v>0.29571787814896761</v>
      </c>
      <c r="E10" s="3442"/>
      <c r="F10" s="3443">
        <v>0.022845270610169201</v>
      </c>
      <c r="G10" s="3444">
        <f>IF(.2788034359489215&gt;=0.10,"",IF(.2788034359489215&gt;=0.05,"*",IF(.2788034359489215&gt;=0.01,"**",IF(.2788034359489215&gt;=0,"***",""))))</f>
      </c>
      <c r="H10" s="3445">
        <v>0.27880343594892149</v>
      </c>
    </row>
    <row r="11">
      <c r="A11" s="3446"/>
      <c r="B11" s="3447"/>
      <c r="C11" s="3448"/>
      <c r="D11" s="3449"/>
      <c r="E11" s="3450"/>
      <c r="F11" s="3451"/>
      <c r="G11" s="3452"/>
      <c r="H11" s="3453"/>
    </row>
    <row r="12">
      <c r="A12" s="3454" t="s">
        <v>149</v>
      </c>
      <c r="B12" s="3455">
        <v>-0.041143712361756402</v>
      </c>
      <c r="C12" s="3456">
        <f>IF(.0855092544491582&gt;=0.10,"",IF(.0855092544491582&gt;=0.05,"*",IF(.0855092544491582&gt;=0.01,"**",IF(.0855092544491582&gt;=0,"***",""))))</f>
      </c>
      <c r="D12" s="3457">
        <v>0.085509254449158204</v>
      </c>
      <c r="E12" s="3458"/>
      <c r="F12" s="3459">
        <v>-0.055486085935113401</v>
      </c>
      <c r="G12" s="3460">
        <f>IF(.0430428571811767&gt;=0.10,"",IF(.0430428571811767&gt;=0.05,"*",IF(.0430428571811767&gt;=0.01,"**",IF(.0430428571811767&gt;=0,"***",""))))</f>
      </c>
      <c r="H12" s="3461">
        <v>0.043042857181176702</v>
      </c>
    </row>
    <row r="13">
      <c r="A13" s="3462"/>
      <c r="B13" s="3463"/>
      <c r="C13" s="3464"/>
      <c r="D13" s="3465"/>
      <c r="E13" s="3466"/>
      <c r="F13" s="3467"/>
      <c r="G13" s="3468"/>
      <c r="H13" s="3469"/>
    </row>
    <row r="14">
      <c r="A14" s="3470" t="s">
        <v>134</v>
      </c>
      <c r="B14" s="3471" t="s">
        <v>150</v>
      </c>
      <c r="C14" s="3472"/>
      <c r="D14" s="3473"/>
      <c r="E14" s="3474"/>
      <c r="F14" s="3475" t="s">
        <v>150</v>
      </c>
      <c r="G14" s="3476"/>
      <c r="H14" s="3477"/>
    </row>
    <row r="15">
      <c r="A15" s="3478" t="s">
        <v>135</v>
      </c>
      <c r="B15" s="3479" t="s">
        <v>151</v>
      </c>
      <c r="C15" s="3480"/>
      <c r="D15" s="3481"/>
      <c r="E15" s="3482"/>
      <c r="F15" s="3483" t="s">
        <v>151</v>
      </c>
      <c r="G15" s="3484"/>
      <c r="H15" s="3485"/>
    </row>
    <row r="16">
      <c r="A16" s="3486" t="s">
        <v>136</v>
      </c>
      <c r="B16" s="3487" t="s">
        <v>139</v>
      </c>
      <c r="C16" s="3488"/>
      <c r="D16" s="3489"/>
      <c r="E16" s="3490"/>
      <c r="F16" s="3491" t="s">
        <v>139</v>
      </c>
      <c r="G16" s="3492"/>
      <c r="H16" s="3493"/>
    </row>
    <row r="17">
      <c r="A17" s="3494" t="s">
        <v>1</v>
      </c>
      <c r="B17" s="3495">
        <v>1529</v>
      </c>
      <c r="C17" s="3496"/>
      <c r="D17" s="3497"/>
      <c r="E17" s="3498"/>
      <c r="F17" s="3499">
        <v>1529</v>
      </c>
      <c r="G17" s="3500"/>
      <c r="H17" s="3501"/>
    </row>
    <row r="18">
      <c r="A18" s="3502" t="s">
        <v>137</v>
      </c>
      <c r="B18" s="3503">
        <v>0.041152958766145602</v>
      </c>
      <c r="C18" s="3504"/>
      <c r="D18" s="3505"/>
      <c r="E18" s="3506"/>
      <c r="F18" s="3507">
        <v>0.059640431461481902</v>
      </c>
      <c r="G18" s="3508"/>
      <c r="H18" s="3509"/>
    </row>
  </sheetData>
  <mergeCells count="36">
    <mergeCell ref="A5:H5"/>
    <mergeCell ref="B6:D6"/>
    <mergeCell ref="F6:H6"/>
    <mergeCell ref="B7:D7"/>
    <mergeCell ref="F7:H7"/>
    <mergeCell ref="B8:D8"/>
    <mergeCell ref="F8:H8"/>
    <mergeCell ref="B9:C9"/>
    <mergeCell ref="F9:G9"/>
    <mergeCell ref="A10:A11"/>
    <mergeCell ref="B10:B11"/>
    <mergeCell ref="C10:C11"/>
    <mergeCell ref="D10:D11"/>
    <mergeCell ref="E10:E11"/>
    <mergeCell ref="F10:F11"/>
    <mergeCell ref="G10:G11"/>
    <mergeCell ref="H10:H11"/>
    <mergeCell ref="A12:A13"/>
    <mergeCell ref="B12:B13"/>
    <mergeCell ref="C12:C13"/>
    <mergeCell ref="D12:D13"/>
    <mergeCell ref="E12:E13"/>
    <mergeCell ref="F12:F13"/>
    <mergeCell ref="G12:G13"/>
    <mergeCell ref="H12:H13"/>
    <mergeCell ref="B14:D14"/>
    <mergeCell ref="F14:H14"/>
    <mergeCell ref="B15:D15"/>
    <mergeCell ref="F15:H15"/>
    <mergeCell ref="B16:D16"/>
    <mergeCell ref="F16:H16"/>
    <mergeCell ref="B17:D17"/>
    <mergeCell ref="B18:D18"/>
    <mergeCell ref="F17:H17"/>
    <mergeCell ref="F18:H18"/>
    <mergeCell ref="A3:H3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D24"/>
  <sheetFormatPr defaultRowHeight="15"/>
  <sheetData>
    <row r="1">
      <c r="A1" s="3701"/>
      <c r="B1" s="3702"/>
      <c r="C1" s="3703"/>
      <c r="D1" s="3704"/>
    </row>
    <row r="2">
      <c r="A2" s="3705"/>
      <c r="B2" s="3706"/>
      <c r="C2" s="3707"/>
      <c r="D2" s="3708"/>
    </row>
    <row r="3">
      <c r="A3" s="3709" t="s">
        <v>152</v>
      </c>
      <c r="B3" s="3710"/>
      <c r="C3" s="3711"/>
      <c r="D3" s="3712"/>
    </row>
    <row r="4">
      <c r="A4" s="3713"/>
      <c r="B4" s="3714"/>
      <c r="C4" s="3715"/>
      <c r="D4" s="3716"/>
    </row>
    <row r="5">
      <c r="A5" s="3717" t="s">
        <v>153</v>
      </c>
      <c r="B5" s="3718"/>
      <c r="C5" s="3719"/>
      <c r="D5" s="3720"/>
    </row>
    <row r="6">
      <c r="A6" s="3721" t="s">
        <v>130</v>
      </c>
      <c r="B6" s="3722" t="s">
        <v>142</v>
      </c>
      <c r="C6" s="3723"/>
      <c r="D6" s="3724"/>
    </row>
    <row r="7">
      <c r="A7" s="3725" t="s">
        <v>143</v>
      </c>
      <c r="B7" s="3726" t="s">
        <v>144</v>
      </c>
      <c r="C7" s="3727"/>
      <c r="D7" s="3728"/>
    </row>
    <row r="8">
      <c r="A8" s="3729" t="s">
        <v>145</v>
      </c>
      <c r="B8" s="3730" t="s">
        <v>147</v>
      </c>
      <c r="C8" s="3731"/>
      <c r="D8" s="3732"/>
    </row>
    <row r="9">
      <c r="A9" s="3733" t="s">
        <v>154</v>
      </c>
      <c r="B9" s="3734" t="s">
        <v>131</v>
      </c>
      <c r="C9" s="3735"/>
      <c r="D9" s="3736" t="s">
        <v>119</v>
      </c>
    </row>
    <row r="10">
      <c r="A10" s="3737" t="s">
        <v>157</v>
      </c>
      <c r="B10" s="3738">
        <v>-0.045877204664893097</v>
      </c>
      <c r="C10" s="3739">
        <f>IF(.1953722867450506&gt;=0.10,"",IF(.1953722867450506&gt;=0.05,"*",IF(.1953722867450506&gt;=0.01,"**",IF(.1953722867450506&gt;=0,"***",""))))</f>
      </c>
      <c r="D10" s="3740">
        <v>0.19537228674505061</v>
      </c>
    </row>
    <row r="11">
      <c r="A11" s="3741"/>
      <c r="B11" s="3742"/>
      <c r="C11" s="3743"/>
      <c r="D11" s="3744"/>
    </row>
    <row r="12">
      <c r="A12" s="3745" t="s">
        <v>158</v>
      </c>
      <c r="B12" s="3746">
        <v>-0.058772973673754302</v>
      </c>
      <c r="C12" s="3747">
        <f>IF(.0614742890321349&gt;=0.10,"",IF(.0614742890321349&gt;=0.05,"*",IF(.0614742890321349&gt;=0.01,"**",IF(.0614742890321349&gt;=0,"***",""))))</f>
      </c>
      <c r="D12" s="3748">
        <v>0.0614742890321349</v>
      </c>
    </row>
    <row r="13">
      <c r="A13" s="3749"/>
      <c r="B13" s="3750"/>
      <c r="C13" s="3751"/>
      <c r="D13" s="3752"/>
    </row>
    <row r="14">
      <c r="A14" s="3753" t="s">
        <v>159</v>
      </c>
      <c r="B14" s="3754">
        <v>-0.052204807070631097</v>
      </c>
      <c r="C14" s="3755">
        <f>IF(.0667525498427499&gt;=0.10,"",IF(.0667525498427499&gt;=0.05,"*",IF(.0667525498427499&gt;=0.01,"**",IF(.0667525498427499&gt;=0,"***",""))))</f>
      </c>
      <c r="D14" s="3756">
        <v>0.066752549842749906</v>
      </c>
    </row>
    <row r="15">
      <c r="A15" s="3757"/>
      <c r="B15" s="3758"/>
      <c r="C15" s="3759"/>
      <c r="D15" s="3760"/>
    </row>
    <row r="16">
      <c r="A16" s="3761" t="s">
        <v>160</v>
      </c>
      <c r="B16" s="3762">
        <v>-0.057051581324467103</v>
      </c>
      <c r="C16" s="3763">
        <f>IF(.0443476121484246&gt;=0.10,"",IF(.0443476121484246&gt;=0.05,"*",IF(.0443476121484246&gt;=0.01,"**",IF(.0443476121484246&gt;=0,"***",""))))</f>
      </c>
      <c r="D16" s="3764">
        <v>0.044347612148424601</v>
      </c>
    </row>
    <row r="17">
      <c r="A17" s="3765"/>
      <c r="B17" s="3766"/>
      <c r="C17" s="3767"/>
      <c r="D17" s="3768"/>
    </row>
    <row r="18">
      <c r="A18" s="3769" t="s">
        <v>161</v>
      </c>
      <c r="B18" s="3770">
        <v>-0.055486085935113401</v>
      </c>
      <c r="C18" s="3771">
        <f>IF(.0430428571811767&gt;=0.10,"",IF(.0430428571811767&gt;=0.05,"*",IF(.0430428571811767&gt;=0.01,"**",IF(.0430428571811767&gt;=0,"***",""))))</f>
      </c>
      <c r="D18" s="3772">
        <v>0.043042857181176702</v>
      </c>
    </row>
    <row r="19">
      <c r="A19" s="3773"/>
      <c r="B19" s="3774"/>
      <c r="C19" s="3775"/>
      <c r="D19" s="3776"/>
    </row>
    <row r="20">
      <c r="A20" s="3777" t="s">
        <v>155</v>
      </c>
      <c r="B20" s="3778" t="s">
        <v>156</v>
      </c>
      <c r="C20" s="3779"/>
      <c r="D20" s="3780"/>
    </row>
    <row r="21">
      <c r="A21" s="3781" t="s">
        <v>135</v>
      </c>
      <c r="B21" s="3782" t="s">
        <v>151</v>
      </c>
      <c r="C21" s="3783"/>
      <c r="D21" s="3784"/>
    </row>
    <row r="22">
      <c r="A22" s="3785" t="s">
        <v>136</v>
      </c>
      <c r="B22" s="3786" t="s">
        <v>139</v>
      </c>
      <c r="C22" s="3787"/>
      <c r="D22" s="3788"/>
    </row>
    <row r="23">
      <c r="A23" s="3789" t="s">
        <v>1</v>
      </c>
      <c r="B23" s="3790" t="s">
        <v>162</v>
      </c>
      <c r="C23" s="3791"/>
      <c r="D23" s="3792"/>
    </row>
    <row r="24">
      <c r="A24" s="3793" t="s">
        <v>137</v>
      </c>
      <c r="B24" s="3794" t="s">
        <v>163</v>
      </c>
      <c r="C24" s="3795"/>
      <c r="D24" s="3796"/>
    </row>
  </sheetData>
  <mergeCells count="31">
    <mergeCell ref="A5:D5"/>
    <mergeCell ref="B6:D6"/>
    <mergeCell ref="B7:D7"/>
    <mergeCell ref="B8:D8"/>
    <mergeCell ref="B9:C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B23:D23"/>
    <mergeCell ref="B24:D24"/>
    <mergeCell ref="B20:D20"/>
    <mergeCell ref="B21:D21"/>
    <mergeCell ref="B22:D22"/>
    <mergeCell ref="A3:D3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P18"/>
  <sheetFormatPr defaultRowHeight="15"/>
  <sheetData>
    <row r="1">
      <c r="A1" s="4415"/>
      <c r="B1" s="4416"/>
      <c r="C1" s="4417"/>
      <c r="D1" s="4418"/>
      <c r="E1" s="4419"/>
      <c r="F1" s="4420"/>
      <c r="G1" s="4421"/>
      <c r="H1" s="4422"/>
      <c r="I1" s="4423"/>
      <c r="J1" s="4424"/>
      <c r="K1" s="4425"/>
      <c r="L1" s="4426"/>
      <c r="M1" s="4427"/>
      <c r="N1" s="4428"/>
      <c r="O1" s="4429"/>
      <c r="P1" s="4430"/>
    </row>
    <row r="2">
      <c r="A2" s="4431"/>
      <c r="B2" s="4432"/>
      <c r="C2" s="4433"/>
      <c r="D2" s="4434"/>
      <c r="E2" s="4435"/>
      <c r="F2" s="4436"/>
      <c r="G2" s="4437"/>
      <c r="H2" s="4438"/>
      <c r="I2" s="4439"/>
      <c r="J2" s="4440"/>
      <c r="K2" s="4441"/>
      <c r="L2" s="4442"/>
      <c r="M2" s="4443"/>
      <c r="N2" s="4444"/>
      <c r="O2" s="4445"/>
      <c r="P2" s="4446"/>
    </row>
    <row r="3">
      <c r="A3" s="4447" t="s">
        <v>169</v>
      </c>
      <c r="B3" s="4448"/>
      <c r="C3" s="4449"/>
      <c r="D3" s="4450"/>
      <c r="E3" s="4451"/>
      <c r="F3" s="4452"/>
      <c r="G3" s="4453"/>
      <c r="H3" s="4454"/>
      <c r="I3" s="4455"/>
      <c r="J3" s="4456"/>
      <c r="K3" s="4457"/>
      <c r="L3" s="4458"/>
      <c r="M3" s="4459"/>
      <c r="N3" s="4460"/>
      <c r="O3" s="4461"/>
      <c r="P3" s="4462"/>
    </row>
    <row r="4">
      <c r="A4" s="4463"/>
      <c r="B4" s="4464"/>
      <c r="C4" s="4465"/>
      <c r="D4" s="4466"/>
      <c r="E4" s="4467"/>
      <c r="F4" s="4468"/>
      <c r="G4" s="4469"/>
      <c r="H4" s="4470"/>
      <c r="I4" s="4471"/>
      <c r="J4" s="4472"/>
      <c r="K4" s="4473"/>
      <c r="L4" s="4474"/>
      <c r="M4" s="4475"/>
      <c r="N4" s="4476"/>
      <c r="O4" s="4477"/>
      <c r="P4" s="4478"/>
    </row>
    <row r="5">
      <c r="A5" s="4479" t="s">
        <v>164</v>
      </c>
      <c r="B5" s="4480"/>
      <c r="C5" s="4481"/>
      <c r="D5" s="4482"/>
      <c r="E5" s="4483"/>
      <c r="F5" s="4484"/>
      <c r="G5" s="4485"/>
      <c r="H5" s="4486"/>
      <c r="I5" s="4487"/>
      <c r="J5" s="4488"/>
      <c r="K5" s="4489"/>
      <c r="L5" s="4490"/>
      <c r="M5" s="4491"/>
      <c r="N5" s="4492"/>
      <c r="O5" s="4493"/>
      <c r="P5" s="4494"/>
    </row>
    <row r="6">
      <c r="A6" s="4495" t="s">
        <v>130</v>
      </c>
      <c r="B6" s="4496" t="s">
        <v>165</v>
      </c>
      <c r="C6" s="4497"/>
      <c r="D6" s="4498"/>
      <c r="E6" s="4499"/>
      <c r="F6" s="4500" t="s">
        <v>166</v>
      </c>
      <c r="G6" s="4501"/>
      <c r="H6" s="4502"/>
      <c r="I6" s="4503"/>
      <c r="J6" s="4504" t="s">
        <v>167</v>
      </c>
      <c r="K6" s="4505"/>
      <c r="L6" s="4506"/>
      <c r="M6" s="4507"/>
      <c r="N6" s="4508" t="s">
        <v>168</v>
      </c>
      <c r="O6" s="4509"/>
      <c r="P6" s="4510"/>
    </row>
    <row r="7">
      <c r="A7" s="4511" t="s">
        <v>143</v>
      </c>
      <c r="B7" s="4512" t="s">
        <v>144</v>
      </c>
      <c r="C7" s="4513"/>
      <c r="D7" s="4514"/>
      <c r="E7" s="4515"/>
      <c r="F7" s="4516" t="s">
        <v>144</v>
      </c>
      <c r="G7" s="4517"/>
      <c r="H7" s="4518"/>
      <c r="I7" s="4519"/>
      <c r="J7" s="4520" t="s">
        <v>144</v>
      </c>
      <c r="K7" s="4521"/>
      <c r="L7" s="4522"/>
      <c r="M7" s="4523"/>
      <c r="N7" s="4524" t="s">
        <v>144</v>
      </c>
      <c r="O7" s="4525"/>
      <c r="P7" s="4526"/>
    </row>
    <row r="8">
      <c r="A8" s="4527" t="s">
        <v>145</v>
      </c>
      <c r="B8" s="4528" t="s">
        <v>146</v>
      </c>
      <c r="C8" s="4529"/>
      <c r="D8" s="4530"/>
      <c r="E8" s="4531"/>
      <c r="F8" s="4532" t="s">
        <v>146</v>
      </c>
      <c r="G8" s="4533"/>
      <c r="H8" s="4534"/>
      <c r="I8" s="4535"/>
      <c r="J8" s="4536" t="s">
        <v>146</v>
      </c>
      <c r="K8" s="4537"/>
      <c r="L8" s="4538"/>
      <c r="M8" s="4539"/>
      <c r="N8" s="4540" t="s">
        <v>146</v>
      </c>
      <c r="O8" s="4541"/>
      <c r="P8" s="4542"/>
    </row>
    <row r="9">
      <c r="A9" s="4543"/>
      <c r="B9" s="4544" t="s">
        <v>131</v>
      </c>
      <c r="C9" s="4545"/>
      <c r="D9" s="4546" t="s">
        <v>119</v>
      </c>
      <c r="E9" s="4547"/>
      <c r="F9" s="4548" t="s">
        <v>131</v>
      </c>
      <c r="G9" s="4549"/>
      <c r="H9" s="4550" t="s">
        <v>119</v>
      </c>
      <c r="I9" s="4551"/>
      <c r="J9" s="4552" t="s">
        <v>131</v>
      </c>
      <c r="K9" s="4553"/>
      <c r="L9" s="4554" t="s">
        <v>119</v>
      </c>
      <c r="M9" s="4555"/>
      <c r="N9" s="4556" t="s">
        <v>131</v>
      </c>
      <c r="O9" s="4557"/>
      <c r="P9" s="4558" t="s">
        <v>119</v>
      </c>
    </row>
    <row r="10">
      <c r="A10" s="4559" t="s">
        <v>148</v>
      </c>
      <c r="B10" s="4560">
        <v>0.0012650871105937</v>
      </c>
      <c r="C10" s="4561">
        <f>IF(.0922622142154783&gt;=0.10,"",IF(.0922622142154783&gt;=0.05,"*",IF(.0922622142154783&gt;=0.01,"**",IF(.0922622142154783&gt;=0,"***",""))))</f>
      </c>
      <c r="D10" s="4562">
        <v>0.092262214215478297</v>
      </c>
      <c r="E10" s="4563"/>
      <c r="F10" s="4564">
        <v>-0.00083208841176229996</v>
      </c>
      <c r="G10" s="4565">
        <f>IF(.174609063425412&gt;=0.10,"",IF(.174609063425412&gt;=0.05,"*",IF(.174609063425412&gt;=0.01,"**",IF(.174609063425412&gt;=0,"***",""))))</f>
      </c>
      <c r="H10" s="4566">
        <v>0.17460906342541199</v>
      </c>
      <c r="I10" s="4567"/>
      <c r="J10" s="4568">
        <v>0.028831867228583101</v>
      </c>
      <c r="K10" s="4569">
        <f>IF(.6722505638569078&gt;=0.10,"",IF(.6722505638569078&gt;=0.05,"*",IF(.6722505638569078&gt;=0.01,"**",IF(.6722505638569078&gt;=0,"***",""))))</f>
      </c>
      <c r="L10" s="4570">
        <v>0.67225056385690785</v>
      </c>
      <c r="M10" s="4571"/>
      <c r="N10" s="4572">
        <v>0.028344564124247001</v>
      </c>
      <c r="O10" s="4573">
        <f>IF(.7994384578782618&gt;=0.10,"",IF(.7994384578782618&gt;=0.05,"*",IF(.7994384578782618&gt;=0.01,"**",IF(.7994384578782618&gt;=0,"***",""))))</f>
      </c>
      <c r="P10" s="4574">
        <v>0.79943845787826184</v>
      </c>
    </row>
    <row r="11">
      <c r="A11" s="4575"/>
      <c r="B11" s="4576"/>
      <c r="C11" s="4577"/>
      <c r="D11" s="4578"/>
      <c r="E11" s="4579"/>
      <c r="F11" s="4580"/>
      <c r="G11" s="4581"/>
      <c r="H11" s="4582"/>
      <c r="I11" s="4583"/>
      <c r="J11" s="4584"/>
      <c r="K11" s="4585"/>
      <c r="L11" s="4586"/>
      <c r="M11" s="4587"/>
      <c r="N11" s="4588"/>
      <c r="O11" s="4589"/>
      <c r="P11" s="4590"/>
    </row>
    <row r="12">
      <c r="A12" s="4591" t="s">
        <v>149</v>
      </c>
      <c r="B12" s="4592">
        <v>-0.0015208328185371</v>
      </c>
      <c r="C12" s="4593">
        <f>IF(.0174411915931017&gt;=0.10,"",IF(.0174411915931017&gt;=0.05,"*",IF(.0174411915931017&gt;=0.01,"**",IF(.0174411915931017&gt;=0,"***",""))))</f>
      </c>
      <c r="D12" s="4594">
        <v>0.017441191593101701</v>
      </c>
      <c r="E12" s="4595"/>
      <c r="F12" s="4596">
        <v>0.0012411311424489</v>
      </c>
      <c r="G12" s="4597">
        <f>IF(.0125607753380496&gt;=0.10,"",IF(.0125607753380496&gt;=0.05,"*",IF(.0125607753380496&gt;=0.01,"**",IF(.0125607753380496&gt;=0,"***",""))))</f>
      </c>
      <c r="H12" s="4598">
        <v>0.0125607753380496</v>
      </c>
      <c r="I12" s="4599"/>
      <c r="J12" s="4600">
        <v>-0.1244610086590045</v>
      </c>
      <c r="K12" s="4601">
        <f>IF(.0500199185633949&gt;=0.10,"",IF(.0500199185633949&gt;=0.05,"*",IF(.0500199185633949&gt;=0.01,"**",IF(.0500199185633949&gt;=0,"***",""))))</f>
      </c>
      <c r="L12" s="4602">
        <v>0.050019918563394897</v>
      </c>
      <c r="M12" s="4603"/>
      <c r="N12" s="4604">
        <v>-0.1558126969439394</v>
      </c>
      <c r="O12" s="4605">
        <f>IF(.0883743864329271&gt;=0.10,"",IF(.0883743864329271&gt;=0.05,"*",IF(.0883743864329271&gt;=0.01,"**",IF(.0883743864329271&gt;=0,"***",""))))</f>
      </c>
      <c r="P12" s="4606">
        <v>0.088374386432927096</v>
      </c>
    </row>
    <row r="13">
      <c r="A13" s="4607"/>
      <c r="B13" s="4608"/>
      <c r="C13" s="4609"/>
      <c r="D13" s="4610"/>
      <c r="E13" s="4611"/>
      <c r="F13" s="4612"/>
      <c r="G13" s="4613"/>
      <c r="H13" s="4614"/>
      <c r="I13" s="4615"/>
      <c r="J13" s="4616"/>
      <c r="K13" s="4617"/>
      <c r="L13" s="4618"/>
      <c r="M13" s="4619"/>
      <c r="N13" s="4620"/>
      <c r="O13" s="4621"/>
      <c r="P13" s="4622"/>
    </row>
    <row r="14">
      <c r="A14" s="4623" t="s">
        <v>134</v>
      </c>
      <c r="B14" s="4624" t="s">
        <v>150</v>
      </c>
      <c r="C14" s="4625"/>
      <c r="D14" s="4626"/>
      <c r="E14" s="4627"/>
      <c r="F14" s="4628" t="s">
        <v>150</v>
      </c>
      <c r="G14" s="4629"/>
      <c r="H14" s="4630"/>
      <c r="I14" s="4631"/>
      <c r="J14" s="4632" t="s">
        <v>150</v>
      </c>
      <c r="K14" s="4633"/>
      <c r="L14" s="4634"/>
      <c r="M14" s="4635"/>
      <c r="N14" s="4636" t="s">
        <v>150</v>
      </c>
      <c r="O14" s="4637"/>
      <c r="P14" s="4638"/>
    </row>
    <row r="15">
      <c r="A15" s="4639" t="s">
        <v>135</v>
      </c>
      <c r="B15" s="4640" t="s">
        <v>151</v>
      </c>
      <c r="C15" s="4641"/>
      <c r="D15" s="4642"/>
      <c r="E15" s="4643"/>
      <c r="F15" s="4644" t="s">
        <v>151</v>
      </c>
      <c r="G15" s="4645"/>
      <c r="H15" s="4646"/>
      <c r="I15" s="4647"/>
      <c r="J15" s="4648" t="s">
        <v>151</v>
      </c>
      <c r="K15" s="4649"/>
      <c r="L15" s="4650"/>
      <c r="M15" s="4651"/>
      <c r="N15" s="4652" t="s">
        <v>151</v>
      </c>
      <c r="O15" s="4653"/>
      <c r="P15" s="4654"/>
    </row>
    <row r="16">
      <c r="A16" s="4655" t="s">
        <v>136</v>
      </c>
      <c r="B16" s="4656" t="s">
        <v>139</v>
      </c>
      <c r="C16" s="4657"/>
      <c r="D16" s="4658"/>
      <c r="E16" s="4659"/>
      <c r="F16" s="4660" t="s">
        <v>139</v>
      </c>
      <c r="G16" s="4661"/>
      <c r="H16" s="4662"/>
      <c r="I16" s="4663"/>
      <c r="J16" s="4664" t="s">
        <v>139</v>
      </c>
      <c r="K16" s="4665"/>
      <c r="L16" s="4666"/>
      <c r="M16" s="4667"/>
      <c r="N16" s="4668" t="s">
        <v>139</v>
      </c>
      <c r="O16" s="4669"/>
      <c r="P16" s="4670"/>
    </row>
    <row r="17">
      <c r="A17" s="4671" t="s">
        <v>1</v>
      </c>
      <c r="B17" s="4672">
        <v>1302</v>
      </c>
      <c r="C17" s="4673"/>
      <c r="D17" s="4674"/>
      <c r="E17" s="4675"/>
      <c r="F17" s="4676">
        <v>1302</v>
      </c>
      <c r="G17" s="4677"/>
      <c r="H17" s="4678"/>
      <c r="I17" s="4679"/>
      <c r="J17" s="4680">
        <v>1333</v>
      </c>
      <c r="K17" s="4681"/>
      <c r="L17" s="4682"/>
      <c r="M17" s="4683"/>
      <c r="N17" s="4684">
        <v>1333</v>
      </c>
      <c r="O17" s="4685"/>
      <c r="P17" s="4686"/>
    </row>
    <row r="18">
      <c r="A18" s="4687" t="s">
        <v>137</v>
      </c>
      <c r="B18" s="4688">
        <v>0.18009764796186961</v>
      </c>
      <c r="C18" s="4689"/>
      <c r="D18" s="4690"/>
      <c r="E18" s="4691"/>
      <c r="F18" s="4692">
        <v>0.25975768361612728</v>
      </c>
      <c r="G18" s="4693"/>
      <c r="H18" s="4694"/>
      <c r="I18" s="4695"/>
      <c r="J18" s="4696">
        <v>0.2927107209916171</v>
      </c>
      <c r="K18" s="4697"/>
      <c r="L18" s="4698"/>
      <c r="M18" s="4699"/>
      <c r="N18" s="4700">
        <v>0.36455367321868259</v>
      </c>
      <c r="O18" s="4701"/>
      <c r="P18" s="4702"/>
    </row>
  </sheetData>
  <mergeCells count="70">
    <mergeCell ref="A5:P5"/>
    <mergeCell ref="B6:D6"/>
    <mergeCell ref="F6:H6"/>
    <mergeCell ref="J6:L6"/>
    <mergeCell ref="N6:P6"/>
    <mergeCell ref="B7:D7"/>
    <mergeCell ref="F7:H7"/>
    <mergeCell ref="J7:L7"/>
    <mergeCell ref="N7:P7"/>
    <mergeCell ref="B8:D8"/>
    <mergeCell ref="F8:H8"/>
    <mergeCell ref="J8:L8"/>
    <mergeCell ref="N8:P8"/>
    <mergeCell ref="B9:C9"/>
    <mergeCell ref="F9:G9"/>
    <mergeCell ref="J9:K9"/>
    <mergeCell ref="N9:O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B14:D14"/>
    <mergeCell ref="F14:H14"/>
    <mergeCell ref="J14:L14"/>
    <mergeCell ref="N14:P14"/>
    <mergeCell ref="B15:D15"/>
    <mergeCell ref="F15:H15"/>
    <mergeCell ref="J15:L15"/>
    <mergeCell ref="N15:P15"/>
    <mergeCell ref="B16:D16"/>
    <mergeCell ref="F16:H16"/>
    <mergeCell ref="J16:L16"/>
    <mergeCell ref="N16:P16"/>
    <mergeCell ref="B17:D17"/>
    <mergeCell ref="B18:D18"/>
    <mergeCell ref="F17:H17"/>
    <mergeCell ref="F18:H18"/>
    <mergeCell ref="J17:L17"/>
    <mergeCell ref="J18:L18"/>
    <mergeCell ref="N17:P17"/>
    <mergeCell ref="N18:P18"/>
    <mergeCell ref="A3:P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H50"/>
  <sheetFormatPr defaultRowHeight="15"/>
  <sheetData>
    <row r="1">
      <c r="A1" s="5405"/>
      <c r="B1" s="5406"/>
      <c r="C1" s="5407"/>
      <c r="D1" s="5408"/>
      <c r="E1" s="5409"/>
      <c r="F1" s="5410"/>
      <c r="G1" s="5411"/>
      <c r="H1" s="5412"/>
    </row>
    <row r="2">
      <c r="A2" s="5413"/>
      <c r="B2" s="5414"/>
      <c r="C2" s="5415"/>
      <c r="D2" s="5416"/>
      <c r="E2" s="5417"/>
      <c r="F2" s="5418"/>
      <c r="G2" s="5419"/>
      <c r="H2" s="5420"/>
    </row>
    <row r="3">
      <c r="A3" s="5421" t="s">
        <v>178</v>
      </c>
      <c r="B3" s="5422"/>
      <c r="C3" s="5423"/>
      <c r="D3" s="5424"/>
      <c r="E3" s="5425"/>
      <c r="F3" s="5426"/>
      <c r="G3" s="5427"/>
      <c r="H3" s="5428"/>
    </row>
    <row r="4">
      <c r="A4" s="5429"/>
      <c r="B4" s="5430"/>
      <c r="C4" s="5431"/>
      <c r="D4" s="5432"/>
      <c r="E4" s="5433"/>
      <c r="F4" s="5434"/>
      <c r="G4" s="5435"/>
      <c r="H4" s="5436"/>
    </row>
    <row r="5">
      <c r="A5" s="5437" t="s">
        <v>170</v>
      </c>
      <c r="B5" s="5438"/>
      <c r="C5" s="5439"/>
      <c r="D5" s="5440"/>
      <c r="E5" s="5441"/>
      <c r="F5" s="5442"/>
      <c r="G5" s="5443"/>
      <c r="H5" s="5444"/>
    </row>
    <row r="6">
      <c r="A6" s="5445" t="s">
        <v>130</v>
      </c>
      <c r="B6" s="5446" t="s">
        <v>116</v>
      </c>
      <c r="C6" s="5447"/>
      <c r="D6" s="5448"/>
      <c r="E6" s="5449"/>
      <c r="F6" s="5450" t="s">
        <v>9</v>
      </c>
      <c r="G6" s="5451"/>
      <c r="H6" s="5452"/>
    </row>
    <row r="7">
      <c r="A7" s="5453"/>
      <c r="B7" s="5454" t="s">
        <v>131</v>
      </c>
      <c r="C7" s="5455"/>
      <c r="D7" s="5456" t="s">
        <v>119</v>
      </c>
      <c r="E7" s="5457"/>
      <c r="F7" s="5458" t="s">
        <v>131</v>
      </c>
      <c r="G7" s="5459"/>
      <c r="H7" s="5460" t="s">
        <v>119</v>
      </c>
    </row>
    <row r="8">
      <c r="A8" s="5461" t="s">
        <v>2</v>
      </c>
      <c r="B8" s="5462">
        <v>-0.0275947596678363</v>
      </c>
      <c r="C8" s="5463">
        <f>IF(.0868188761628419&gt;=0.10,"",IF(.0868188761628419&gt;=0.05,"*",IF(.0868188761628419&gt;=0.01,"**",IF(.0868188761628419&gt;=0,"***",""))))</f>
      </c>
      <c r="D8" s="5464">
        <v>0.086818876162841896</v>
      </c>
      <c r="E8" s="5465"/>
      <c r="F8" s="5466">
        <v>-0.11557774134029219</v>
      </c>
      <c r="G8" s="5467">
        <f>IF(.056852667648915&gt;=0.10,"",IF(.056852667648915&gt;=0.05,"*",IF(.056852667648915&gt;=0.01,"**",IF(.056852667648915&gt;=0,"***",""))))</f>
      </c>
      <c r="H8" s="5468">
        <v>0.056852667648915001</v>
      </c>
    </row>
    <row r="9">
      <c r="A9" s="5469"/>
      <c r="B9" s="5470"/>
      <c r="C9" s="5471"/>
      <c r="D9" s="5472"/>
      <c r="E9" s="5473"/>
      <c r="F9" s="5474"/>
      <c r="G9" s="5475"/>
      <c r="H9" s="5476"/>
    </row>
    <row r="10">
      <c r="A10" s="5477" t="s">
        <v>35</v>
      </c>
      <c r="B10" s="5478">
        <v>-0.014486490806080001</v>
      </c>
      <c r="C10" s="5479">
        <f>IF(.4785584718351029&gt;=0.10,"",IF(.4785584718351029&gt;=0.05,"*",IF(.4785584718351029&gt;=0.01,"**",IF(.4785584718351029&gt;=0,"***",""))))</f>
      </c>
      <c r="D10" s="5480">
        <v>0.47855847183510292</v>
      </c>
      <c r="E10" s="5481"/>
      <c r="F10" s="5482">
        <v>-0.041135664083868401</v>
      </c>
      <c r="G10" s="5483">
        <f>IF(.6504148733261672&gt;=0.10,"",IF(.6504148733261672&gt;=0.05,"*",IF(.6504148733261672&gt;=0.01,"**",IF(.6504148733261672&gt;=0,"***",""))))</f>
      </c>
      <c r="H10" s="5484">
        <v>0.65041487332616721</v>
      </c>
    </row>
    <row r="11">
      <c r="A11" s="5485"/>
      <c r="B11" s="5486"/>
      <c r="C11" s="5487"/>
      <c r="D11" s="5488"/>
      <c r="E11" s="5489"/>
      <c r="F11" s="5490"/>
      <c r="G11" s="5491"/>
      <c r="H11" s="5492"/>
    </row>
    <row r="12">
      <c r="A12" s="5493" t="s">
        <v>171</v>
      </c>
      <c r="B12" s="5494">
        <v>0.00080975053429810004</v>
      </c>
      <c r="C12" s="5495">
        <f>IF(.9824862173480192&gt;=0.10,"",IF(.9824862173480192&gt;=0.05,"*",IF(.9824862173480192&gt;=0.01,"**",IF(.9824862173480192&gt;=0,"***",""))))</f>
      </c>
      <c r="D12" s="5496">
        <v>0.98248621734801922</v>
      </c>
      <c r="E12" s="5497"/>
      <c r="F12" s="5498">
        <v>-0.085564085240153007</v>
      </c>
      <c r="G12" s="5499">
        <f>IF(.5526081677939578&gt;=0.10,"",IF(.5526081677939578&gt;=0.05,"*",IF(.5526081677939578&gt;=0.01,"**",IF(.5526081677939578&gt;=0,"***",""))))</f>
      </c>
      <c r="H12" s="5500">
        <v>0.55260816779395783</v>
      </c>
    </row>
    <row r="13">
      <c r="A13" s="5501"/>
      <c r="B13" s="5502"/>
      <c r="C13" s="5503"/>
      <c r="D13" s="5504"/>
      <c r="E13" s="5505"/>
      <c r="F13" s="5506"/>
      <c r="G13" s="5507"/>
      <c r="H13" s="5508"/>
    </row>
    <row r="14">
      <c r="A14" s="5509" t="s">
        <v>155</v>
      </c>
      <c r="B14" s="5510" t="s">
        <v>172</v>
      </c>
      <c r="C14" s="5511"/>
      <c r="D14" s="5512"/>
      <c r="E14" s="5513"/>
      <c r="F14" s="5514" t="s">
        <v>172</v>
      </c>
      <c r="G14" s="5515"/>
      <c r="H14" s="5516"/>
    </row>
    <row r="15">
      <c r="A15" s="5517" t="s">
        <v>135</v>
      </c>
      <c r="B15" s="5518" t="s">
        <v>138</v>
      </c>
      <c r="C15" s="5519"/>
      <c r="D15" s="5520"/>
      <c r="E15" s="5521"/>
      <c r="F15" s="5522" t="s">
        <v>138</v>
      </c>
      <c r="G15" s="5523"/>
      <c r="H15" s="5524"/>
    </row>
    <row r="16">
      <c r="A16" s="5525" t="s">
        <v>136</v>
      </c>
      <c r="B16" s="5526" t="s">
        <v>139</v>
      </c>
      <c r="C16" s="5527"/>
      <c r="D16" s="5528"/>
      <c r="E16" s="5529"/>
      <c r="F16" s="5530" t="s">
        <v>139</v>
      </c>
      <c r="G16" s="5531"/>
      <c r="H16" s="5532"/>
    </row>
    <row r="17">
      <c r="A17" s="5533" t="s">
        <v>1</v>
      </c>
      <c r="B17" s="5534">
        <v>828</v>
      </c>
      <c r="C17" s="5535"/>
      <c r="D17" s="5536"/>
      <c r="E17" s="5537"/>
      <c r="F17" s="5538">
        <v>828</v>
      </c>
      <c r="G17" s="5539"/>
      <c r="H17" s="5540"/>
    </row>
    <row r="18">
      <c r="A18" s="5541" t="s">
        <v>137</v>
      </c>
      <c r="B18" s="5542">
        <v>0.1214997711295096</v>
      </c>
      <c r="C18" s="5543"/>
      <c r="D18" s="5544"/>
      <c r="E18" s="5545"/>
      <c r="F18" s="5546">
        <v>0.1199180140188157</v>
      </c>
      <c r="G18" s="5547"/>
      <c r="H18" s="5548"/>
    </row>
    <row r="19">
      <c r="A19" s="5549"/>
      <c r="B19" s="5550"/>
      <c r="C19" s="5551"/>
      <c r="D19" s="5552"/>
      <c r="E19" s="5553"/>
      <c r="F19" s="5554"/>
      <c r="G19" s="5555"/>
      <c r="H19" s="5556"/>
    </row>
    <row r="20">
      <c r="A20" s="5557"/>
      <c r="B20" s="5558"/>
      <c r="C20" s="5559"/>
      <c r="D20" s="5560"/>
      <c r="E20" s="5561"/>
      <c r="F20" s="5562"/>
      <c r="G20" s="5563"/>
      <c r="H20" s="5564"/>
    </row>
    <row r="21">
      <c r="A21" s="5565" t="s">
        <v>173</v>
      </c>
      <c r="B21" s="5566"/>
      <c r="C21" s="5567"/>
      <c r="D21" s="5568"/>
      <c r="E21" s="5569"/>
      <c r="F21" s="5570"/>
      <c r="G21" s="5571"/>
      <c r="H21" s="5572"/>
    </row>
    <row r="22">
      <c r="A22" s="5573" t="s">
        <v>130</v>
      </c>
      <c r="B22" s="5574" t="s">
        <v>116</v>
      </c>
      <c r="C22" s="5575"/>
      <c r="D22" s="5576"/>
      <c r="E22" s="5577"/>
      <c r="F22" s="5578" t="s">
        <v>9</v>
      </c>
      <c r="G22" s="5579"/>
      <c r="H22" s="5580"/>
    </row>
    <row r="23">
      <c r="A23" s="5581"/>
      <c r="B23" s="5582" t="s">
        <v>131</v>
      </c>
      <c r="C23" s="5583"/>
      <c r="D23" s="5584" t="s">
        <v>119</v>
      </c>
      <c r="E23" s="5585"/>
      <c r="F23" s="5586" t="s">
        <v>131</v>
      </c>
      <c r="G23" s="5587"/>
      <c r="H23" s="5588" t="s">
        <v>119</v>
      </c>
    </row>
    <row r="24">
      <c r="A24" s="5589" t="s">
        <v>2</v>
      </c>
      <c r="B24" s="5590">
        <v>-0.042471708766471702</v>
      </c>
      <c r="C24" s="5591">
        <f>IF(.0233260534791732&gt;=0.10,"",IF(.0233260534791732&gt;=0.05,"*",IF(.0233260534791732&gt;=0.01,"**",IF(.0233260534791732&gt;=0,"***",""))))</f>
      </c>
      <c r="D24" s="5592">
        <v>0.0233260534791732</v>
      </c>
      <c r="E24" s="5593"/>
      <c r="F24" s="5594">
        <v>-0.1330745018416517</v>
      </c>
      <c r="G24" s="5595">
        <f>IF(.090021436215627&gt;=0.10,"",IF(.090021436215627&gt;=0.05,"*",IF(.090021436215627&gt;=0.01,"**",IF(.090021436215627&gt;=0,"***",""))))</f>
      </c>
      <c r="H24" s="5596">
        <v>0.090021436215626999</v>
      </c>
    </row>
    <row r="25">
      <c r="A25" s="5597"/>
      <c r="B25" s="5598"/>
      <c r="C25" s="5599"/>
      <c r="D25" s="5600"/>
      <c r="E25" s="5601"/>
      <c r="F25" s="5602"/>
      <c r="G25" s="5603"/>
      <c r="H25" s="5604"/>
    </row>
    <row r="26">
      <c r="A26" s="5605" t="s">
        <v>34</v>
      </c>
      <c r="B26" s="5606">
        <v>-0.022645707483886598</v>
      </c>
      <c r="C26" s="5607">
        <f>IF(.1679306884827085&gt;=0.10,"",IF(.1679306884827085&gt;=0.05,"*",IF(.1679306884827085&gt;=0.01,"**",IF(.1679306884827085&gt;=0,"***",""))))</f>
      </c>
      <c r="D26" s="5608">
        <v>0.16793068848270851</v>
      </c>
      <c r="E26" s="5609"/>
      <c r="F26" s="5610">
        <v>-0.060151834888361601</v>
      </c>
      <c r="G26" s="5611">
        <f>IF(.3897474152002787&gt;=0.10,"",IF(.3897474152002787&gt;=0.05,"*",IF(.3897474152002787&gt;=0.01,"**",IF(.3897474152002787&gt;=0,"***",""))))</f>
      </c>
      <c r="H26" s="5612">
        <v>0.38974741520027872</v>
      </c>
    </row>
    <row r="27">
      <c r="A27" s="5613"/>
      <c r="B27" s="5614"/>
      <c r="C27" s="5615"/>
      <c r="D27" s="5616"/>
      <c r="E27" s="5617"/>
      <c r="F27" s="5618"/>
      <c r="G27" s="5619"/>
      <c r="H27" s="5620"/>
    </row>
    <row r="28">
      <c r="A28" s="5621" t="s">
        <v>174</v>
      </c>
      <c r="B28" s="5622">
        <v>0.035826545446857302</v>
      </c>
      <c r="C28" s="5623">
        <f>IF(.2696530806656361&gt;=0.10,"",IF(.2696530806656361&gt;=0.05,"*",IF(.2696530806656361&gt;=0.01,"**",IF(.2696530806656361&gt;=0,"***",""))))</f>
      </c>
      <c r="D28" s="5624">
        <v>0.26965308066563609</v>
      </c>
      <c r="E28" s="5625"/>
      <c r="F28" s="5626">
        <v>0.0030355836154036002</v>
      </c>
      <c r="G28" s="5627">
        <f>IF(.9790772902277296&gt;=0.10,"",IF(.9790772902277296&gt;=0.05,"*",IF(.9790772902277296&gt;=0.01,"**",IF(.9790772902277296&gt;=0,"***",""))))</f>
      </c>
      <c r="H28" s="5628">
        <v>0.9790772902277296</v>
      </c>
    </row>
    <row r="29">
      <c r="A29" s="5629"/>
      <c r="B29" s="5630"/>
      <c r="C29" s="5631"/>
      <c r="D29" s="5632"/>
      <c r="E29" s="5633"/>
      <c r="F29" s="5634"/>
      <c r="G29" s="5635"/>
      <c r="H29" s="5636"/>
    </row>
    <row r="30">
      <c r="A30" s="5637" t="s">
        <v>155</v>
      </c>
      <c r="B30" s="5638" t="s">
        <v>172</v>
      </c>
      <c r="C30" s="5639"/>
      <c r="D30" s="5640"/>
      <c r="E30" s="5641"/>
      <c r="F30" s="5642" t="s">
        <v>172</v>
      </c>
      <c r="G30" s="5643"/>
      <c r="H30" s="5644"/>
    </row>
    <row r="31">
      <c r="A31" s="5645" t="s">
        <v>135</v>
      </c>
      <c r="B31" s="5646" t="s">
        <v>175</v>
      </c>
      <c r="C31" s="5647"/>
      <c r="D31" s="5648"/>
      <c r="E31" s="5649"/>
      <c r="F31" s="5650" t="s">
        <v>175</v>
      </c>
      <c r="G31" s="5651"/>
      <c r="H31" s="5652"/>
    </row>
    <row r="32">
      <c r="A32" s="5653" t="s">
        <v>136</v>
      </c>
      <c r="B32" s="5654" t="s">
        <v>139</v>
      </c>
      <c r="C32" s="5655"/>
      <c r="D32" s="5656"/>
      <c r="E32" s="5657"/>
      <c r="F32" s="5658" t="s">
        <v>139</v>
      </c>
      <c r="G32" s="5659"/>
      <c r="H32" s="5660"/>
    </row>
    <row r="33">
      <c r="A33" s="5661" t="s">
        <v>1</v>
      </c>
      <c r="B33" s="5662">
        <v>828</v>
      </c>
      <c r="C33" s="5663"/>
      <c r="D33" s="5664"/>
      <c r="E33" s="5665"/>
      <c r="F33" s="5666">
        <v>828</v>
      </c>
      <c r="G33" s="5667"/>
      <c r="H33" s="5668"/>
    </row>
    <row r="34">
      <c r="A34" s="5669" t="s">
        <v>137</v>
      </c>
      <c r="B34" s="5670">
        <v>0.12858635626818801</v>
      </c>
      <c r="C34" s="5671"/>
      <c r="D34" s="5672"/>
      <c r="E34" s="5673"/>
      <c r="F34" s="5674">
        <v>0.1211691969685432</v>
      </c>
      <c r="G34" s="5675"/>
      <c r="H34" s="5676"/>
    </row>
    <row r="35">
      <c r="A35" s="5677"/>
      <c r="B35" s="5678"/>
      <c r="C35" s="5679"/>
      <c r="D35" s="5680"/>
      <c r="E35" s="5681"/>
      <c r="F35" s="5682"/>
      <c r="G35" s="5683"/>
      <c r="H35" s="5684"/>
    </row>
    <row r="36">
      <c r="A36" s="5685"/>
      <c r="B36" s="5686"/>
      <c r="C36" s="5687"/>
      <c r="D36" s="5688"/>
      <c r="E36" s="5689"/>
      <c r="F36" s="5690"/>
      <c r="G36" s="5691"/>
      <c r="H36" s="5692"/>
    </row>
    <row r="37">
      <c r="A37" s="5693" t="s">
        <v>176</v>
      </c>
      <c r="B37" s="5694"/>
      <c r="C37" s="5695"/>
      <c r="D37" s="5696"/>
      <c r="E37" s="5697"/>
      <c r="F37" s="5698"/>
      <c r="G37" s="5699"/>
      <c r="H37" s="5700"/>
    </row>
    <row r="38">
      <c r="A38" s="5701" t="s">
        <v>130</v>
      </c>
      <c r="B38" s="5702" t="s">
        <v>116</v>
      </c>
      <c r="C38" s="5703"/>
      <c r="D38" s="5704"/>
      <c r="E38" s="5705"/>
      <c r="F38" s="5706" t="s">
        <v>9</v>
      </c>
      <c r="G38" s="5707"/>
      <c r="H38" s="5708"/>
    </row>
    <row r="39">
      <c r="A39" s="5709"/>
      <c r="B39" s="5710" t="s">
        <v>131</v>
      </c>
      <c r="C39" s="5711"/>
      <c r="D39" s="5712" t="s">
        <v>119</v>
      </c>
      <c r="E39" s="5713"/>
      <c r="F39" s="5714" t="s">
        <v>131</v>
      </c>
      <c r="G39" s="5715"/>
      <c r="H39" s="5716" t="s">
        <v>119</v>
      </c>
    </row>
    <row r="40">
      <c r="A40" s="5717" t="s">
        <v>2</v>
      </c>
      <c r="B40" s="5718">
        <v>-0.0352651015471021</v>
      </c>
      <c r="C40" s="5719">
        <f>IF(.0330468264400144&gt;=0.10,"",IF(.0330468264400144&gt;=0.05,"*",IF(.0330468264400144&gt;=0.01,"**",IF(.0330468264400144&gt;=0,"***",""))))</f>
      </c>
      <c r="D40" s="5720">
        <v>0.033046826440014401</v>
      </c>
      <c r="E40" s="5721"/>
      <c r="F40" s="5722">
        <v>-0.1709831837171335</v>
      </c>
      <c r="G40" s="5723">
        <f>IF(.0073586724508326&gt;=0.10,"",IF(.0073586724508326&gt;=0.05,"*",IF(.0073586724508326&gt;=0.01,"**",IF(.0073586724508326&gt;=0,"***",""))))</f>
      </c>
      <c r="H40" s="5724">
        <v>0.0073586724508325997</v>
      </c>
    </row>
    <row r="41">
      <c r="A41" s="5725"/>
      <c r="B41" s="5726"/>
      <c r="C41" s="5727"/>
      <c r="D41" s="5728"/>
      <c r="E41" s="5729"/>
      <c r="F41" s="5730"/>
      <c r="G41" s="5731"/>
      <c r="H41" s="5732"/>
    </row>
    <row r="42">
      <c r="A42" s="5733" t="s">
        <v>33</v>
      </c>
      <c r="B42" s="5734">
        <v>-0.0150631259822695</v>
      </c>
      <c r="C42" s="5735">
        <f>IF(.3791238499346548&gt;=0.10,"",IF(.3791238499346548&gt;=0.05,"*",IF(.3791238499346548&gt;=0.01,"**",IF(.3791238499346548&gt;=0,"***",""))))</f>
      </c>
      <c r="D42" s="5736">
        <v>0.37912384993465481</v>
      </c>
      <c r="E42" s="5737"/>
      <c r="F42" s="5738">
        <v>-0.0094363842671160002</v>
      </c>
      <c r="G42" s="5739">
        <f>IF(.8930148735517853&gt;=0.10,"",IF(.8930148735517853&gt;=0.05,"*",IF(.8930148735517853&gt;=0.01,"**",IF(.8930148735517853&gt;=0,"***",""))))</f>
      </c>
      <c r="H42" s="5740">
        <v>0.89301487355178533</v>
      </c>
    </row>
    <row r="43">
      <c r="A43" s="5741"/>
      <c r="B43" s="5742"/>
      <c r="C43" s="5743"/>
      <c r="D43" s="5744"/>
      <c r="E43" s="5745"/>
      <c r="F43" s="5746"/>
      <c r="G43" s="5747"/>
      <c r="H43" s="5748"/>
    </row>
    <row r="44">
      <c r="A44" s="5749" t="s">
        <v>177</v>
      </c>
      <c r="B44" s="5750">
        <v>0.037731603208820103</v>
      </c>
      <c r="C44" s="5751">
        <f>IF(.2683306266995327&gt;=0.10,"",IF(.2683306266995327&gt;=0.05,"*",IF(.2683306266995327&gt;=0.01,"**",IF(.2683306266995327&gt;=0,"***",""))))</f>
      </c>
      <c r="D44" s="5752">
        <v>0.26833062669953273</v>
      </c>
      <c r="E44" s="5753"/>
      <c r="F44" s="5754">
        <v>0.17886194198223529</v>
      </c>
      <c r="G44" s="5755">
        <f>IF(.1810676525290356&gt;=0.10,"",IF(.1810676525290356&gt;=0.05,"*",IF(.1810676525290356&gt;=0.01,"**",IF(.1810676525290356&gt;=0,"***",""))))</f>
      </c>
      <c r="H44" s="5756">
        <v>0.18106765252903559</v>
      </c>
    </row>
    <row r="45">
      <c r="A45" s="5757"/>
      <c r="B45" s="5758"/>
      <c r="C45" s="5759"/>
      <c r="D45" s="5760"/>
      <c r="E45" s="5761"/>
      <c r="F45" s="5762"/>
      <c r="G45" s="5763"/>
      <c r="H45" s="5764"/>
    </row>
    <row r="46">
      <c r="A46" s="5765" t="s">
        <v>155</v>
      </c>
      <c r="B46" s="5766" t="s">
        <v>172</v>
      </c>
      <c r="C46" s="5767"/>
      <c r="D46" s="5768"/>
      <c r="E46" s="5769"/>
      <c r="F46" s="5770" t="s">
        <v>172</v>
      </c>
      <c r="G46" s="5771"/>
      <c r="H46" s="5772"/>
    </row>
    <row r="47">
      <c r="A47" s="5773" t="s">
        <v>135</v>
      </c>
      <c r="B47" s="5774" t="s">
        <v>138</v>
      </c>
      <c r="C47" s="5775"/>
      <c r="D47" s="5776"/>
      <c r="E47" s="5777"/>
      <c r="F47" s="5778" t="s">
        <v>138</v>
      </c>
      <c r="G47" s="5779"/>
      <c r="H47" s="5780"/>
    </row>
    <row r="48">
      <c r="A48" s="5781" t="s">
        <v>136</v>
      </c>
      <c r="B48" s="5782" t="s">
        <v>139</v>
      </c>
      <c r="C48" s="5783"/>
      <c r="D48" s="5784"/>
      <c r="E48" s="5785"/>
      <c r="F48" s="5786" t="s">
        <v>139</v>
      </c>
      <c r="G48" s="5787"/>
      <c r="H48" s="5788"/>
    </row>
    <row r="49">
      <c r="A49" s="5789" t="s">
        <v>1</v>
      </c>
      <c r="B49" s="5790">
        <v>828</v>
      </c>
      <c r="C49" s="5791"/>
      <c r="D49" s="5792"/>
      <c r="E49" s="5793"/>
      <c r="F49" s="5794">
        <v>828</v>
      </c>
      <c r="G49" s="5795"/>
      <c r="H49" s="5796"/>
    </row>
    <row r="50">
      <c r="A50" s="5797" t="s">
        <v>137</v>
      </c>
      <c r="B50" s="5798">
        <v>0.1226860462530391</v>
      </c>
      <c r="C50" s="5799"/>
      <c r="D50" s="5800"/>
      <c r="E50" s="5801"/>
      <c r="F50" s="5802">
        <v>0.1211742951899699</v>
      </c>
      <c r="G50" s="5803"/>
      <c r="H50" s="5804"/>
    </row>
  </sheetData>
  <mergeCells count="109">
    <mergeCell ref="A5:H5"/>
    <mergeCell ref="B6:D6"/>
    <mergeCell ref="F6:H6"/>
    <mergeCell ref="B7:C7"/>
    <mergeCell ref="F7:G7"/>
    <mergeCell ref="A8:A9"/>
    <mergeCell ref="B8:B9"/>
    <mergeCell ref="C8:C9"/>
    <mergeCell ref="D8:D9"/>
    <mergeCell ref="F8:F9"/>
    <mergeCell ref="G8:G9"/>
    <mergeCell ref="H8:H9"/>
    <mergeCell ref="A10:A11"/>
    <mergeCell ref="B10:B11"/>
    <mergeCell ref="C10:C11"/>
    <mergeCell ref="D10:D11"/>
    <mergeCell ref="F10:F11"/>
    <mergeCell ref="G10:G11"/>
    <mergeCell ref="H10:H11"/>
    <mergeCell ref="A12:A13"/>
    <mergeCell ref="B12:B13"/>
    <mergeCell ref="C12:C13"/>
    <mergeCell ref="D12:D13"/>
    <mergeCell ref="F12:F13"/>
    <mergeCell ref="G12:G13"/>
    <mergeCell ref="H12:H13"/>
    <mergeCell ref="B14:D14"/>
    <mergeCell ref="F14:H14"/>
    <mergeCell ref="B15:D15"/>
    <mergeCell ref="F15:H15"/>
    <mergeCell ref="B16:D16"/>
    <mergeCell ref="F16:H16"/>
    <mergeCell ref="B17:D17"/>
    <mergeCell ref="F17:H17"/>
    <mergeCell ref="B18:D18"/>
    <mergeCell ref="F18:H18"/>
    <mergeCell ref="A21:H21"/>
    <mergeCell ref="B22:D22"/>
    <mergeCell ref="F22:H22"/>
    <mergeCell ref="B23:C23"/>
    <mergeCell ref="F23:G23"/>
    <mergeCell ref="A24:A25"/>
    <mergeCell ref="B24:B25"/>
    <mergeCell ref="C24:C25"/>
    <mergeCell ref="D24:D25"/>
    <mergeCell ref="F24:F25"/>
    <mergeCell ref="G24:G25"/>
    <mergeCell ref="H24:H25"/>
    <mergeCell ref="A26:A27"/>
    <mergeCell ref="B26:B27"/>
    <mergeCell ref="C26:C27"/>
    <mergeCell ref="D26:D27"/>
    <mergeCell ref="F26:F27"/>
    <mergeCell ref="G26:G27"/>
    <mergeCell ref="H26:H27"/>
    <mergeCell ref="A28:A29"/>
    <mergeCell ref="B28:B29"/>
    <mergeCell ref="C28:C29"/>
    <mergeCell ref="D28:D29"/>
    <mergeCell ref="F28:F29"/>
    <mergeCell ref="G28:G29"/>
    <mergeCell ref="H28:H29"/>
    <mergeCell ref="B30:D30"/>
    <mergeCell ref="F30:H30"/>
    <mergeCell ref="B31:D31"/>
    <mergeCell ref="F31:H31"/>
    <mergeCell ref="B32:D32"/>
    <mergeCell ref="F32:H32"/>
    <mergeCell ref="B33:D33"/>
    <mergeCell ref="F33:H33"/>
    <mergeCell ref="B34:D34"/>
    <mergeCell ref="F34:H34"/>
    <mergeCell ref="A37:H37"/>
    <mergeCell ref="B38:D38"/>
    <mergeCell ref="F38:H38"/>
    <mergeCell ref="B39:C39"/>
    <mergeCell ref="F39:G39"/>
    <mergeCell ref="A40:A41"/>
    <mergeCell ref="B40:B41"/>
    <mergeCell ref="C40:C41"/>
    <mergeCell ref="D40:D41"/>
    <mergeCell ref="F40:F41"/>
    <mergeCell ref="G40:G41"/>
    <mergeCell ref="H40:H41"/>
    <mergeCell ref="A42:A43"/>
    <mergeCell ref="B42:B43"/>
    <mergeCell ref="C42:C43"/>
    <mergeCell ref="D42:D43"/>
    <mergeCell ref="F42:F43"/>
    <mergeCell ref="G42:G43"/>
    <mergeCell ref="H42:H43"/>
    <mergeCell ref="A44:A45"/>
    <mergeCell ref="B44:B45"/>
    <mergeCell ref="C44:C45"/>
    <mergeCell ref="D44:D45"/>
    <mergeCell ref="F44:F45"/>
    <mergeCell ref="G44:G45"/>
    <mergeCell ref="H44:H45"/>
    <mergeCell ref="B46:D46"/>
    <mergeCell ref="F46:H46"/>
    <mergeCell ref="B47:D47"/>
    <mergeCell ref="F47:H47"/>
    <mergeCell ref="B48:D48"/>
    <mergeCell ref="F48:H48"/>
    <mergeCell ref="B49:D49"/>
    <mergeCell ref="F49:H49"/>
    <mergeCell ref="B50:D50"/>
    <mergeCell ref="F50:H50"/>
    <mergeCell ref="A3:H3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J18"/>
  <sheetFormatPr defaultRowHeight="15"/>
  <sheetData>
    <row r="1">
      <c r="A1" s="6108"/>
      <c r="B1" s="6109"/>
      <c r="C1" s="6110"/>
      <c r="D1" s="6111"/>
      <c r="E1" s="6112"/>
      <c r="F1" s="6113"/>
      <c r="G1" s="6114"/>
      <c r="H1" s="6115"/>
      <c r="I1" s="6116"/>
      <c r="J1" s="6117"/>
    </row>
    <row r="2">
      <c r="A2" s="6118"/>
      <c r="B2" s="6119"/>
      <c r="C2" s="6120"/>
      <c r="D2" s="6121"/>
      <c r="E2" s="6122"/>
      <c r="F2" s="6123"/>
      <c r="G2" s="6124"/>
      <c r="H2" s="6125"/>
      <c r="I2" s="6126"/>
      <c r="J2" s="6127"/>
    </row>
    <row r="3">
      <c r="A3" s="6128" t="s">
        <v>184</v>
      </c>
      <c r="B3" s="6129"/>
      <c r="C3" s="6130"/>
      <c r="D3" s="6131"/>
      <c r="E3" s="6132"/>
      <c r="F3" s="6133"/>
      <c r="G3" s="6134"/>
      <c r="H3" s="6135"/>
      <c r="I3" s="6136"/>
      <c r="J3" s="6137"/>
    </row>
    <row r="4">
      <c r="A4" s="6138"/>
      <c r="B4" s="6139"/>
      <c r="C4" s="6140"/>
      <c r="D4" s="6141"/>
      <c r="E4" s="6142"/>
      <c r="F4" s="6143"/>
      <c r="G4" s="6144"/>
      <c r="H4" s="6145"/>
      <c r="I4" s="6146"/>
      <c r="J4" s="6147"/>
    </row>
    <row r="5">
      <c r="A5" s="6148" t="s">
        <v>179</v>
      </c>
      <c r="B5" s="6149"/>
      <c r="C5" s="6150"/>
      <c r="D5" s="6151"/>
      <c r="E5" s="6152"/>
      <c r="F5" s="6153"/>
      <c r="G5" s="6154" t="s">
        <v>182</v>
      </c>
      <c r="H5" s="6155"/>
      <c r="I5" s="6156"/>
      <c r="J5" s="6157"/>
    </row>
    <row r="6">
      <c r="A6" s="6158" t="s">
        <v>130</v>
      </c>
      <c r="B6" s="6159" t="s">
        <v>9</v>
      </c>
      <c r="C6" s="6160"/>
      <c r="D6" s="6161"/>
      <c r="E6" s="6162"/>
      <c r="F6" s="6163"/>
      <c r="G6" s="6164" t="s">
        <v>130</v>
      </c>
      <c r="H6" s="6165" t="s">
        <v>8</v>
      </c>
      <c r="I6" s="6166"/>
      <c r="J6" s="6167"/>
    </row>
    <row r="7">
      <c r="A7" s="6168" t="s">
        <v>180</v>
      </c>
      <c r="B7" s="6169" t="s">
        <v>181</v>
      </c>
      <c r="C7" s="6170"/>
      <c r="D7" s="6171"/>
      <c r="E7" s="6172"/>
      <c r="F7" s="6173"/>
      <c r="G7" s="6174" t="s">
        <v>180</v>
      </c>
      <c r="H7" s="6175" t="s">
        <v>183</v>
      </c>
      <c r="I7" s="6176"/>
      <c r="J7" s="6177"/>
    </row>
    <row r="8">
      <c r="A8" s="6178"/>
      <c r="B8" s="6179" t="s">
        <v>131</v>
      </c>
      <c r="C8" s="6180"/>
      <c r="D8" s="6181" t="s">
        <v>119</v>
      </c>
      <c r="E8" s="6182"/>
      <c r="F8" s="6183"/>
      <c r="G8" s="6184"/>
      <c r="H8" s="6185" t="s">
        <v>131</v>
      </c>
      <c r="I8" s="6186"/>
      <c r="J8" s="6187" t="s">
        <v>119</v>
      </c>
    </row>
    <row r="9">
      <c r="A9" s="6188" t="s">
        <v>2</v>
      </c>
      <c r="B9" s="6189">
        <v>-0.13687149916939739</v>
      </c>
      <c r="C9" s="6190">
        <f>IF(.0161617853639775&gt;=0.10,"",IF(.0161617853639775&gt;=0.05,"*",IF(.0161617853639775&gt;=0.01,"**",IF(.0161617853639775&gt;=0,"***",""))))</f>
      </c>
      <c r="D9" s="6191">
        <v>0.016161785363977499</v>
      </c>
      <c r="E9" s="6192"/>
      <c r="F9" s="6193"/>
      <c r="G9" s="6194" t="s">
        <v>5</v>
      </c>
      <c r="H9" s="6195">
        <v>-0.020676449976138999</v>
      </c>
      <c r="I9" s="6196">
        <f>IF(.3298113593804004&gt;=0.10,"",IF(.3298113593804004&gt;=0.05,"*",IF(.3298113593804004&gt;=0.01,"**",IF(.3298113593804004&gt;=0,"***",""))))</f>
      </c>
      <c r="J9" s="6197">
        <v>0.3298113593804004</v>
      </c>
    </row>
    <row r="10">
      <c r="A10" s="6198"/>
      <c r="B10" s="6199"/>
      <c r="C10" s="6200"/>
      <c r="D10" s="6201"/>
      <c r="E10" s="6202"/>
      <c r="F10" s="6203"/>
      <c r="G10" s="6204"/>
      <c r="H10" s="6205"/>
      <c r="I10" s="6206"/>
      <c r="J10" s="6207"/>
    </row>
    <row r="11">
      <c r="A11" s="6208" t="s">
        <v>36</v>
      </c>
      <c r="B11" s="6209">
        <v>-0.24635319075927939</v>
      </c>
      <c r="C11" s="6210">
        <f>IF(.166735873699519&gt;=0.10,"",IF(.166735873699519&gt;=0.05,"*",IF(.166735873699519&gt;=0.01,"**",IF(.166735873699519&gt;=0,"***",""))))</f>
      </c>
      <c r="D11" s="6211">
        <v>0.166735873699519</v>
      </c>
      <c r="E11" s="6212"/>
      <c r="F11" s="6213"/>
      <c r="G11" s="6214" t="s">
        <v>35</v>
      </c>
      <c r="H11" s="6215">
        <v>-0.00026434667536109999</v>
      </c>
      <c r="I11" s="6216">
        <f>IF(.9909427054886852&gt;=0.10,"",IF(.9909427054886852&gt;=0.05,"*",IF(.9909427054886852&gt;=0.01,"**",IF(.9909427054886852&gt;=0,"***",""))))</f>
      </c>
      <c r="J11" s="6217">
        <v>0.99094270548868524</v>
      </c>
    </row>
    <row r="12">
      <c r="A12" s="6218" t="s">
        <v>33</v>
      </c>
      <c r="B12" s="6219">
        <v>0.041629542361693798</v>
      </c>
      <c r="C12" s="6220">
        <f>IF(.528325265757575&gt;=0.10,"",IF(.528325265757575&gt;=0.05,"*",IF(.528325265757575&gt;=0.01,"**",IF(.528325265757575&gt;=0,"***",""))))</f>
      </c>
      <c r="D12" s="6221">
        <v>0.52832526575757499</v>
      </c>
      <c r="E12" s="6222"/>
      <c r="F12" s="6223"/>
      <c r="G12" s="6224" t="s">
        <v>33</v>
      </c>
      <c r="H12" s="6225">
        <v>-0.0066783403969658999</v>
      </c>
      <c r="I12" s="6226">
        <f>IF(.7528669128737426&gt;=0.10,"",IF(.7528669128737426&gt;=0.05,"*",IF(.7528669128737426&gt;=0.01,"**",IF(.7528669128737426&gt;=0,"***",""))))</f>
      </c>
      <c r="J12" s="6227">
        <v>0.75286691287374263</v>
      </c>
    </row>
    <row r="13">
      <c r="A13" s="6228" t="s">
        <v>132</v>
      </c>
      <c r="B13" s="6229" t="s">
        <v>133</v>
      </c>
      <c r="C13" s="6230"/>
      <c r="D13" s="6231"/>
      <c r="E13" s="6232"/>
      <c r="F13" s="6233"/>
      <c r="G13" s="6234" t="s">
        <v>132</v>
      </c>
      <c r="H13" s="6235" t="s">
        <v>133</v>
      </c>
      <c r="I13" s="6236"/>
      <c r="J13" s="6237"/>
    </row>
    <row r="14">
      <c r="A14" s="6238" t="s">
        <v>134</v>
      </c>
      <c r="B14" s="6239" t="s">
        <v>133</v>
      </c>
      <c r="C14" s="6240"/>
      <c r="D14" s="6241"/>
      <c r="E14" s="6242"/>
      <c r="F14" s="6243"/>
      <c r="G14" s="6244" t="s">
        <v>134</v>
      </c>
      <c r="H14" s="6245" t="s">
        <v>133</v>
      </c>
      <c r="I14" s="6246"/>
      <c r="J14" s="6247"/>
    </row>
    <row r="15">
      <c r="A15" s="6248" t="s">
        <v>135</v>
      </c>
      <c r="B15" s="6249" t="s">
        <v>138</v>
      </c>
      <c r="C15" s="6250"/>
      <c r="D15" s="6251"/>
      <c r="E15" s="6252"/>
      <c r="F15" s="6253"/>
      <c r="G15" s="6254" t="s">
        <v>135</v>
      </c>
      <c r="H15" s="6255" t="s">
        <v>138</v>
      </c>
      <c r="I15" s="6256"/>
      <c r="J15" s="6257"/>
    </row>
    <row r="16">
      <c r="A16" s="6258" t="s">
        <v>136</v>
      </c>
      <c r="B16" s="6259" t="s">
        <v>139</v>
      </c>
      <c r="C16" s="6260"/>
      <c r="D16" s="6261"/>
      <c r="E16" s="6262"/>
      <c r="F16" s="6263"/>
      <c r="G16" s="6264" t="s">
        <v>136</v>
      </c>
      <c r="H16" s="6265" t="s">
        <v>139</v>
      </c>
      <c r="I16" s="6266"/>
      <c r="J16" s="6267"/>
    </row>
    <row r="17">
      <c r="A17" s="6268" t="s">
        <v>1</v>
      </c>
      <c r="B17" s="6269">
        <v>726</v>
      </c>
      <c r="C17" s="6270"/>
      <c r="D17" s="6271"/>
      <c r="E17" s="6272"/>
      <c r="F17" s="6273"/>
      <c r="G17" s="6274" t="s">
        <v>1</v>
      </c>
      <c r="H17" s="6275">
        <v>261</v>
      </c>
      <c r="I17" s="6276"/>
      <c r="J17" s="6277"/>
    </row>
    <row r="18">
      <c r="A18" s="6278" t="s">
        <v>137</v>
      </c>
      <c r="B18" s="6279">
        <v>0.1679697426003319</v>
      </c>
      <c r="C18" s="6280"/>
      <c r="D18" s="6281"/>
      <c r="E18" s="6282"/>
      <c r="F18" s="6283"/>
      <c r="G18" s="6284" t="s">
        <v>137</v>
      </c>
      <c r="H18" s="6285">
        <v>0.082429957733610407</v>
      </c>
      <c r="I18" s="6286"/>
      <c r="J18" s="6287"/>
    </row>
  </sheetData>
  <mergeCells count="29">
    <mergeCell ref="A5:D5"/>
    <mergeCell ref="B6:D6"/>
    <mergeCell ref="B7:D7"/>
    <mergeCell ref="B8:C8"/>
    <mergeCell ref="A9:A10"/>
    <mergeCell ref="B9:B10"/>
    <mergeCell ref="C9:C10"/>
    <mergeCell ref="D9:D10"/>
    <mergeCell ref="B13:D13"/>
    <mergeCell ref="B14:D14"/>
    <mergeCell ref="B15:D15"/>
    <mergeCell ref="B16:D16"/>
    <mergeCell ref="B17:D17"/>
    <mergeCell ref="B18:D18"/>
    <mergeCell ref="G5:J5"/>
    <mergeCell ref="H6:J6"/>
    <mergeCell ref="H7:J7"/>
    <mergeCell ref="H8:I8"/>
    <mergeCell ref="G9:G10"/>
    <mergeCell ref="H9:H10"/>
    <mergeCell ref="I9:I10"/>
    <mergeCell ref="J9:J10"/>
    <mergeCell ref="H13:J13"/>
    <mergeCell ref="H14:J14"/>
    <mergeCell ref="H15:J15"/>
    <mergeCell ref="H16:J16"/>
    <mergeCell ref="H17:J17"/>
    <mergeCell ref="H18:J18"/>
    <mergeCell ref="A3:J3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D21"/>
  <sheetFormatPr defaultRowHeight="15"/>
  <sheetData>
    <row r="1">
      <c r="A1" s="6450"/>
      <c r="B1" s="6451"/>
      <c r="C1" s="6452"/>
      <c r="D1" s="6453"/>
    </row>
    <row r="2">
      <c r="A2" s="6454"/>
      <c r="B2" s="6455"/>
      <c r="C2" s="6456"/>
      <c r="D2" s="6457"/>
    </row>
    <row r="3">
      <c r="A3" s="6458" t="s">
        <v>191</v>
      </c>
      <c r="B3" s="6459"/>
      <c r="C3" s="6460"/>
      <c r="D3" s="6461"/>
    </row>
    <row r="4">
      <c r="A4" s="6462"/>
      <c r="B4" s="6463"/>
      <c r="C4" s="6464"/>
      <c r="D4" s="6465"/>
    </row>
    <row r="5">
      <c r="A5" s="6466" t="s">
        <v>185</v>
      </c>
      <c r="B5" s="6467"/>
      <c r="C5" s="6468"/>
      <c r="D5" s="6469"/>
    </row>
    <row r="6">
      <c r="A6" s="6470" t="s">
        <v>130</v>
      </c>
      <c r="B6" s="6471" t="s">
        <v>116</v>
      </c>
      <c r="C6" s="6472"/>
      <c r="D6" s="6473"/>
    </row>
    <row r="7">
      <c r="A7" s="6474"/>
      <c r="B7" s="6475" t="s">
        <v>131</v>
      </c>
      <c r="C7" s="6476"/>
      <c r="D7" s="6477" t="s">
        <v>119</v>
      </c>
    </row>
    <row r="8">
      <c r="A8" s="6478" t="s">
        <v>186</v>
      </c>
      <c r="B8" s="6479">
        <v>0.088289280127624103</v>
      </c>
      <c r="C8" s="6480">
        <f>IF(.0000726512905829&gt;=0.10,"",IF(.0000726512905829&gt;=0.05,"*",IF(.0000726512905829&gt;=0.01,"**",IF(.0000726512905829&gt;=0,"***",""))))</f>
      </c>
      <c r="D8" s="6481">
        <v>7.2651290582900006e-05</v>
      </c>
    </row>
    <row r="9">
      <c r="A9" s="6482"/>
      <c r="B9" s="6483"/>
      <c r="C9" s="6484"/>
      <c r="D9" s="6485"/>
    </row>
    <row r="10">
      <c r="A10" s="6486" t="s">
        <v>187</v>
      </c>
      <c r="B10" s="6487">
        <v>-0.0297574693628142</v>
      </c>
      <c r="C10" s="6488">
        <f>IF(.5212015338523556&gt;=0.10,"",IF(.5212015338523556&gt;=0.05,"*",IF(.5212015338523556&gt;=0.01,"**",IF(.5212015338523556&gt;=0,"***",""))))</f>
      </c>
      <c r="D10" s="6489">
        <v>0.52120153385235557</v>
      </c>
    </row>
    <row r="11">
      <c r="A11" s="6490"/>
      <c r="B11" s="6491"/>
      <c r="C11" s="6492"/>
      <c r="D11" s="6493"/>
    </row>
    <row r="12">
      <c r="A12" s="6494" t="s">
        <v>188</v>
      </c>
      <c r="B12" s="6495">
        <v>0.13008644390357649</v>
      </c>
      <c r="C12" s="6496">
        <f>IF(.0625668989959656&gt;=0.10,"",IF(.0625668989959656&gt;=0.05,"*",IF(.0625668989959656&gt;=0.01,"**",IF(.0625668989959656&gt;=0,"***",""))))</f>
      </c>
      <c r="D12" s="6497">
        <v>0.062566898995965597</v>
      </c>
    </row>
    <row r="13">
      <c r="A13" s="6498"/>
      <c r="B13" s="6499"/>
      <c r="C13" s="6500"/>
      <c r="D13" s="6501"/>
    </row>
    <row r="14">
      <c r="A14" s="6502" t="s">
        <v>36</v>
      </c>
      <c r="B14" s="6503">
        <v>-0.027747571874914799</v>
      </c>
      <c r="C14" s="6504">
        <f>IF(.4596007207216082&gt;=0.10,"",IF(.4596007207216082&gt;=0.05,"*",IF(.4596007207216082&gt;=0.01,"**",IF(.4596007207216082&gt;=0,"***",""))))</f>
      </c>
      <c r="D14" s="6505">
        <v>0.45960072072160818</v>
      </c>
    </row>
    <row r="15">
      <c r="A15" s="6506" t="s">
        <v>33</v>
      </c>
      <c r="B15" s="6507">
        <v>-0.0074885705349722002</v>
      </c>
      <c r="C15" s="6508">
        <f>IF(.5402196436971447&gt;=0.10,"",IF(.5402196436971447&gt;=0.05,"*",IF(.5402196436971447&gt;=0.01,"**",IF(.5402196436971447&gt;=0,"***",""))))</f>
      </c>
      <c r="D15" s="6509">
        <v>0.5402196436971447</v>
      </c>
    </row>
    <row r="16">
      <c r="A16" s="6510" t="s">
        <v>132</v>
      </c>
      <c r="B16" s="6511" t="s">
        <v>189</v>
      </c>
      <c r="C16" s="6512"/>
      <c r="D16" s="6513"/>
    </row>
    <row r="17">
      <c r="A17" s="6514" t="s">
        <v>134</v>
      </c>
      <c r="B17" s="6515" t="s">
        <v>133</v>
      </c>
      <c r="C17" s="6516"/>
      <c r="D17" s="6517"/>
    </row>
    <row r="18">
      <c r="A18" s="6518" t="s">
        <v>135</v>
      </c>
      <c r="B18" s="6519" t="s">
        <v>190</v>
      </c>
      <c r="C18" s="6520"/>
      <c r="D18" s="6521"/>
    </row>
    <row r="19">
      <c r="A19" s="6522" t="s">
        <v>136</v>
      </c>
      <c r="B19" s="6523" t="s">
        <v>139</v>
      </c>
      <c r="C19" s="6524"/>
      <c r="D19" s="6525"/>
    </row>
    <row r="20">
      <c r="A20" s="6526" t="s">
        <v>1</v>
      </c>
      <c r="B20" s="6527">
        <v>1092</v>
      </c>
      <c r="C20" s="6528"/>
      <c r="D20" s="6529"/>
    </row>
    <row r="21">
      <c r="A21" s="6530" t="s">
        <v>137</v>
      </c>
      <c r="B21" s="6531">
        <v>0.16459824646275761</v>
      </c>
      <c r="C21" s="6532"/>
      <c r="D21" s="6533"/>
    </row>
  </sheetData>
  <mergeCells count="22">
    <mergeCell ref="A5:D5"/>
    <mergeCell ref="B6:D6"/>
    <mergeCell ref="B7:C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B16:D16"/>
    <mergeCell ref="B17:D17"/>
    <mergeCell ref="B18:D18"/>
    <mergeCell ref="B19:D19"/>
    <mergeCell ref="B20:D20"/>
    <mergeCell ref="B21:D21"/>
    <mergeCell ref="A3:D3"/>
  </mergeCells>
</worksheet>
</file>
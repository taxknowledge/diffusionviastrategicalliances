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S_T1_RegAnalysis" sheetId="1" r:id="rId2"/>
    <sheet name="OS_T2_DiDNoControls" sheetId="2" r:id="rId4"/>
    <sheet name="OS_T3_AltTaxKnowledge" sheetId="3" r:id="rId5"/>
    <sheet name="OS_T4_EffectProfit" sheetId="4" r:id="rId6"/>
  </sheets>
  <calcPr calcId="125725" fullCalcOnLoad="true"/>
</workbook>
</file>

<file path=xl/sharedStrings.xml><?xml version="1.0" encoding="utf-8"?>
<sst xmlns="http://schemas.openxmlformats.org/spreadsheetml/2006/main" count="105" uniqueCount="60">
  <si>
    <t>Regression Analysis</t>
  </si>
  <si>
    <t>Dependent Variable</t>
  </si>
  <si>
    <t>cash ETR3 [t1; t3]</t>
  </si>
  <si>
    <t>delta cash ETR3</t>
  </si>
  <si>
    <t>Coefficient</t>
  </si>
  <si>
    <t>(p-value)</t>
  </si>
  <si>
    <t>hightolow</t>
  </si>
  <si>
    <t>Proximity</t>
  </si>
  <si>
    <t>SameAuditor</t>
  </si>
  <si>
    <t>EBITDA3</t>
  </si>
  <si>
    <t>RnDExp3</t>
  </si>
  <si>
    <t>AdExp3</t>
  </si>
  <si>
    <t>SGA3</t>
  </si>
  <si>
    <t>CapEx3</t>
  </si>
  <si>
    <t>ChangeSale3</t>
  </si>
  <si>
    <t>Leverage3</t>
  </si>
  <si>
    <t>Cash3</t>
  </si>
  <si>
    <t>MNE3</t>
  </si>
  <si>
    <t>NOL3</t>
  </si>
  <si>
    <t>Intangibles3</t>
  </si>
  <si>
    <t>PPE3</t>
  </si>
  <si>
    <t>Size3</t>
  </si>
  <si>
    <t>PurposeWholesale</t>
  </si>
  <si>
    <t>PurposeR&amp;D</t>
  </si>
  <si>
    <t>PurposeLicensing</t>
  </si>
  <si>
    <t>PurposeService</t>
  </si>
  <si>
    <t>PurposeMarketing</t>
  </si>
  <si>
    <t>PurposeSupply</t>
  </si>
  <si>
    <t>PurposeManufacturing</t>
  </si>
  <si>
    <t>Intercept</t>
  </si>
  <si>
    <t>Firm Controls</t>
  </si>
  <si>
    <t>Fixed Effects</t>
  </si>
  <si>
    <t>SE</t>
  </si>
  <si>
    <t>N</t>
  </si>
  <si>
    <t>Adjusted R2</t>
  </si>
  <si>
    <t>Yes</t>
  </si>
  <si>
    <t>Industry &amp; Year</t>
  </si>
  <si>
    <t>Cluster @ Firm</t>
  </si>
  <si>
    <t>Table OS 1</t>
  </si>
  <si>
    <t>Difference in Differences without Control Variables</t>
  </si>
  <si>
    <t>Embargo Period</t>
  </si>
  <si>
    <t>Entropy Balancing</t>
  </si>
  <si>
    <t>cash ETR</t>
  </si>
  <si>
    <t>Yes [t-2; t5]</t>
  </si>
  <si>
    <t>Balanced Sample</t>
  </si>
  <si>
    <t>treated</t>
  </si>
  <si>
    <t>treated*post</t>
  </si>
  <si>
    <t>No</t>
  </si>
  <si>
    <t>Robust</t>
  </si>
  <si>
    <t>Table OS 2</t>
  </si>
  <si>
    <t>Henry/Sansing Cash Tax Differential (CTD)</t>
  </si>
  <si>
    <t>CTD</t>
  </si>
  <si>
    <t>Yes (Annual Measures)</t>
  </si>
  <si>
    <t>Industry &amp; Year &amp; Embargo Period</t>
  </si>
  <si>
    <t>Table OS 3</t>
  </si>
  <si>
    <t>Effect on Profitability</t>
  </si>
  <si>
    <t>Specification</t>
  </si>
  <si>
    <t>annual average growth rate</t>
  </si>
  <si>
    <t>Network Controls</t>
  </si>
  <si>
    <t>Table OS 4</t>
  </si>
</sst>
</file>

<file path=xl/styles.xml><?xml version="1.0" encoding="utf-8"?>
<styleSheet xmlns="http://schemas.openxmlformats.org/spreadsheetml/2006/main">
  <numFmts count="2">
    <numFmt numFmtId="166" formatCode="# 0.0000"/>
    <numFmt numFmtId="167" formatCode="# (0.0000)"/>
  </numFmts>
  <fonts count="210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59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/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/>
    <border/>
    <border>
      <bottom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bottom style="thin"/>
    </border>
    <border>
      <left style="none"/>
      <right style="none"/>
      <top style="none"/>
      <bottom style="thin"/>
      <diagonal style="none"/>
    </border>
    <border/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bottom style="thin"/>
    </border>
    <border>
      <left style="none"/>
      <right style="none"/>
      <top style="none"/>
      <bottom style="thin"/>
      <diagonal style="none"/>
    </border>
    <border/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>
      <left style="none"/>
      <right style="none"/>
      <top style="none"/>
      <bottom style="none"/>
      <diagonal style="none"/>
    </border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>
      <bottom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59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" xfId="0"/>
    <xf numFmtId="0" fontId="0" fillId="0" borderId="3" xfId="0" applyBorder="true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 applyBorder="true"/>
    <xf numFmtId="0" fontId="3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3" xfId="0" applyBorder="true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 applyBorder="true"/>
    <xf numFmtId="0" fontId="27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7" xfId="0"/>
    <xf numFmtId="0" fontId="0" fillId="0" borderId="68" xfId="0"/>
    <xf numFmtId="0" fontId="0" fillId="0" borderId="69" xfId="0" applyBorder="true"/>
    <xf numFmtId="0" fontId="0" fillId="0" borderId="70" xfId="0"/>
    <xf numFmtId="0" fontId="5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3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4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5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6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9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0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1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3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4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5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9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3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4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5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6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7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8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9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0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1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2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3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4" fillId="0" borderId="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5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6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7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8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9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0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1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2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3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4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5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6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7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7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8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0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1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3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3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4" fillId="0" borderId="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5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6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7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8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9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0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1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2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3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4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5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6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7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8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9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0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1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2" fillId="0" borderId="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3" fillId="0" borderId="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4" fillId="0" borderId="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5" fillId="0" borderId="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6" fillId="0" borderId="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" fillId="0" borderId="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" fillId="0" borderId="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6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8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0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8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" fillId="0" borderId="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6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" fillId="0" borderId="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2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" fillId="0" borderId="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" fillId="0" borderId="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8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" fillId="0" borderId="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" fillId="0" borderId="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" fillId="0" borderId="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2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" fillId="0" borderId="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0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8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2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0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8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" fillId="0" borderId="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6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2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0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" fillId="0" borderId="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" fillId="0" borderId="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0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8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6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" fillId="0" borderId="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0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8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6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" fillId="0" borderId="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" fillId="0" borderId="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2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" fillId="0" borderId="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" fillId="0" borderId="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8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" fillId="0" borderId="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6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" fillId="0" borderId="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" fillId="0" borderId="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2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" fillId="0" borderId="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" fillId="0" borderId="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" fillId="0" borderId="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2" fillId="0" borderId="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" fillId="0" borderId="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" fillId="0" borderId="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8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" fillId="0" borderId="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" fillId="0" borderId="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6" fillId="0" borderId="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8" fillId="0" borderId="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0" fillId="0" borderId="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2" fillId="0" borderId="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8" fillId="0" borderId="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0" fillId="0" borderId="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2" fillId="0" borderId="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4" fillId="0" borderId="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6" fillId="0" borderId="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8" fillId="0" borderId="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0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4" fillId="0" borderId="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" fillId="0" borderId="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8" fillId="0" borderId="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0" fillId="0" borderId="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2" fillId="0" borderId="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4" fillId="0" borderId="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6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" fillId="0" borderId="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0" fillId="0" borderId="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2" fillId="0" borderId="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4" fillId="0" borderId="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6" fillId="0" borderId="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8" fillId="0" borderId="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0" fillId="0" borderId="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" fillId="0" borderId="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8" fillId="0" borderId="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0" fillId="0" borderId="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42" fillId="0" borderId="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4" fillId="0" borderId="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6" fillId="0" borderId="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" fillId="0" borderId="6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8" fillId="0" borderId="6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9" fillId="0" borderId="6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0" fillId="0" borderId="6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1" fillId="0" borderId="6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2" fillId="0" borderId="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3" fillId="0" borderId="6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4" fillId="0" borderId="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5" fillId="0" borderId="6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6" fillId="0" borderId="6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7" fillId="0" borderId="6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8" fillId="0" borderId="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9" fillId="0" borderId="6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0" fillId="0" borderId="6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1" fillId="0" borderId="6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2" fillId="0" borderId="6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3" fillId="0" borderId="6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4" fillId="0" borderId="6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5" fillId="0" borderId="6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6" fillId="0" borderId="6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7" fillId="0" borderId="6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8" fillId="0" borderId="6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9" fillId="0" borderId="6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0" fillId="0" borderId="6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1" fillId="0" borderId="6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2" fillId="0" borderId="6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3" fillId="0" borderId="6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4" fillId="0" borderId="6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5" fillId="0" borderId="6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6" fillId="0" borderId="6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7" fillId="0" borderId="6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8" fillId="0" borderId="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9" fillId="0" borderId="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0" fillId="0" borderId="6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1" fillId="0" borderId="6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2" fillId="0" borderId="6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3" fillId="0" borderId="6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4" fillId="0" borderId="6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5" fillId="0" borderId="6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6" fillId="0" borderId="6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7" fillId="0" borderId="6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8" fillId="0" borderId="6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9" fillId="0" borderId="6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0" fillId="0" borderId="6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1" fillId="0" borderId="6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2" fillId="0" borderId="6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3" fillId="0" borderId="6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4" fillId="0" borderId="6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5" fillId="0" borderId="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6" fillId="0" borderId="6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7" fillId="0" borderId="6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8" fillId="0" borderId="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9" fillId="0" borderId="6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0" fillId="0" borderId="6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1" fillId="0" borderId="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2" fillId="0" borderId="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3" fillId="0" borderId="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04" fillId="0" borderId="70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05" fillId="0" borderId="7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06" fillId="0" borderId="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7" fillId="0" borderId="7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08" fillId="0" borderId="70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09" fillId="0" borderId="7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10" fillId="0" borderId="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1" fillId="0" borderId="7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12" fillId="0" borderId="71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13" fillId="0" borderId="7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14" fillId="0" borderId="7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5" fillId="0" borderId="7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16" fillId="0" borderId="71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17" fillId="0" borderId="7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18" fillId="0" borderId="7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9" fillId="0" borderId="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20" fillId="0" borderId="71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21" fillId="0" borderId="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22" fillId="0" borderId="7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3" fillId="0" borderId="7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24" fillId="0" borderId="72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25" fillId="0" borderId="7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26" fillId="0" borderId="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7" fillId="0" borderId="7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28" fillId="0" borderId="72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29" fillId="0" borderId="7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30" fillId="0" borderId="7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1" fillId="0" borderId="7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32" fillId="0" borderId="73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33" fillId="0" borderId="7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34" fillId="0" borderId="7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5" fillId="0" borderId="7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36" fillId="0" borderId="73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37" fillId="0" borderId="7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38" fillId="0" borderId="7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9" fillId="0" borderId="7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40" fillId="0" borderId="73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41" fillId="0" borderId="7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42" fillId="0" borderId="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3" fillId="0" borderId="7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44" fillId="0" borderId="74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45" fillId="0" borderId="7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46" fillId="0" borderId="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7" fillId="0" borderId="7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48" fillId="0" borderId="74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49" fillId="0" borderId="7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50" fillId="0" borderId="7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1" fillId="0" borderId="7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52" fillId="0" borderId="75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53" fillId="0" borderId="7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54" fillId="0" borderId="7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5" fillId="0" borderId="7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56" fillId="0" borderId="75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57" fillId="0" borderId="7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58" fillId="0" borderId="7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9" fillId="0" borderId="7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60" fillId="0" borderId="75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61" fillId="0" borderId="7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62" fillId="0" borderId="7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3" fillId="0" borderId="7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64" fillId="0" borderId="76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65" fillId="0" borderId="7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66" fillId="0" borderId="7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7" fillId="0" borderId="7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68" fillId="0" borderId="76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69" fillId="0" borderId="7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70" fillId="0" borderId="7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1" fillId="0" borderId="7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72" fillId="0" borderId="77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73" fillId="0" borderId="7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74" fillId="0" borderId="7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5" fillId="0" borderId="7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76" fillId="0" borderId="77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77" fillId="0" borderId="7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78" fillId="0" borderId="7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9" fillId="0" borderId="7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80" fillId="0" borderId="77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81" fillId="0" borderId="7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82" fillId="0" borderId="7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3" fillId="0" borderId="7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84" fillId="0" borderId="78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85" fillId="0" borderId="7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86" fillId="0" borderId="7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7" fillId="0" borderId="7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88" fillId="0" borderId="78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89" fillId="0" borderId="7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90" fillId="0" borderId="7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1" fillId="0" borderId="7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92" fillId="0" borderId="79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93" fillId="0" borderId="7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94" fillId="0" borderId="7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5" fillId="0" borderId="7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96" fillId="0" borderId="79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097" fillId="0" borderId="7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98" fillId="0" borderId="7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9" fillId="0" borderId="7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00" fillId="0" borderId="79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01" fillId="0" borderId="8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02" fillId="0" borderId="8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3" fillId="0" borderId="8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04" fillId="0" borderId="80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05" fillId="0" borderId="8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06" fillId="0" borderId="8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7" fillId="0" borderId="8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08" fillId="0" borderId="80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09" fillId="0" borderId="8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10" fillId="0" borderId="8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1" fillId="0" borderId="8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12" fillId="0" borderId="81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3" fillId="0" borderId="8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14" fillId="0" borderId="8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5" fillId="0" borderId="8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16" fillId="0" borderId="81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17" fillId="0" borderId="8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18" fillId="0" borderId="8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9" fillId="0" borderId="8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20" fillId="0" borderId="81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1" fillId="0" borderId="8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22" fillId="0" borderId="8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3" fillId="0" borderId="8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24" fillId="0" borderId="82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5" fillId="0" borderId="8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26" fillId="0" borderId="8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7" fillId="0" borderId="8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28" fillId="0" borderId="82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29" fillId="0" borderId="8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30" fillId="0" borderId="8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1" fillId="0" borderId="8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32" fillId="0" borderId="83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3" fillId="0" borderId="8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34" fillId="0" borderId="8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5" fillId="0" borderId="8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36" fillId="0" borderId="83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37" fillId="0" borderId="8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38" fillId="0" borderId="8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9" fillId="0" borderId="8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40" fillId="0" borderId="83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1" fillId="0" borderId="8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42" fillId="0" borderId="8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3" fillId="0" borderId="8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44" fillId="0" borderId="84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5" fillId="0" borderId="8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46" fillId="0" borderId="8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7" fillId="0" borderId="8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48" fillId="0" borderId="84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49" fillId="0" borderId="8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50" fillId="0" borderId="8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1" fillId="0" borderId="8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52" fillId="0" borderId="85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3" fillId="0" borderId="8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54" fillId="0" borderId="8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5" fillId="0" borderId="8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56" fillId="0" borderId="85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57" fillId="0" borderId="8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58" fillId="0" borderId="8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9" fillId="0" borderId="8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60" fillId="0" borderId="85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1" fillId="0" borderId="8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62" fillId="0" borderId="8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3" fillId="0" borderId="8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64" fillId="0" borderId="86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5" fillId="0" borderId="8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66" fillId="0" borderId="8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7" fillId="0" borderId="8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68" fillId="0" borderId="86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69" fillId="0" borderId="8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70" fillId="0" borderId="8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1" fillId="0" borderId="8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72" fillId="0" borderId="87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73" fillId="0" borderId="8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74" fillId="0" borderId="8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5" fillId="0" borderId="8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76" fillId="0" borderId="87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77" fillId="0" borderId="8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78" fillId="0" borderId="8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9" fillId="0" borderId="8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80" fillId="0" borderId="87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81" fillId="0" borderId="8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82" fillId="0" borderId="8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3" fillId="0" borderId="8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84" fillId="0" borderId="88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85" fillId="0" borderId="8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86" fillId="0" borderId="8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7" fillId="0" borderId="8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88" fillId="0" borderId="88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89" fillId="0" borderId="8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90" fillId="0" borderId="8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1" fillId="0" borderId="8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92" fillId="0" borderId="89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93" fillId="0" borderId="8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94" fillId="0" borderId="8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5" fillId="0" borderId="8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96" fillId="0" borderId="89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197" fillId="0" borderId="8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98" fillId="0" borderId="8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9" fillId="0" borderId="8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200" fillId="0" borderId="89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201" fillId="0" borderId="9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202" fillId="0" borderId="9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3" fillId="0" borderId="9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4" fillId="0" borderId="9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5" fillId="0" borderId="9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6" fillId="0" borderId="9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7" fillId="0" borderId="9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8" fillId="0" borderId="9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9" fillId="0" borderId="9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0" fillId="0" borderId="9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1" fillId="0" borderId="9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12" fillId="0" borderId="9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3" fillId="0" borderId="9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4" fillId="0" borderId="9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5" fillId="0" borderId="9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6" fillId="0" borderId="9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7" fillId="0" borderId="9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8" fillId="0" borderId="9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9" fillId="0" borderId="9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0" fillId="0" borderId="9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1" fillId="0" borderId="9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2" fillId="0" borderId="9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3" fillId="0" borderId="9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4" fillId="0" borderId="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5" fillId="0" borderId="9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6" fillId="0" borderId="9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7" fillId="0" borderId="9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8" fillId="0" borderId="9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9" fillId="0" borderId="9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0" fillId="0" borderId="9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1" fillId="0" borderId="9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2" fillId="0" borderId="9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3" fillId="0" borderId="9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4" fillId="0" borderId="9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5" fillId="0" borderId="9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236" fillId="0" borderId="9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7" fillId="0" borderId="9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8" fillId="0" borderId="9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9" fillId="0" borderId="9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40" fillId="0" borderId="9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1" fillId="0" borderId="9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2" fillId="0" borderId="9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942" xfId="0"/>
    <xf numFmtId="0" fontId="0" fillId="0" borderId="943" xfId="0" applyBorder="true"/>
    <xf numFmtId="0" fontId="1244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45" xfId="0"/>
    <xf numFmtId="0" fontId="0" fillId="0" borderId="946" xfId="0"/>
    <xf numFmtId="0" fontId="0" fillId="0" borderId="947" xfId="0"/>
    <xf numFmtId="0" fontId="0" fillId="0" borderId="948" xfId="0" applyBorder="true"/>
    <xf numFmtId="0" fontId="1245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55" xfId="0"/>
    <xf numFmtId="0" fontId="0" fillId="0" borderId="956" xfId="0"/>
    <xf numFmtId="0" fontId="0" fillId="0" borderId="957" xfId="0"/>
    <xf numFmtId="0" fontId="0" fillId="0" borderId="958" xfId="0"/>
    <xf numFmtId="0" fontId="0" fillId="0" borderId="959" xfId="0"/>
    <xf numFmtId="0" fontId="1251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64" xfId="0"/>
    <xf numFmtId="0" fontId="1256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8" fillId="0" borderId="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9" fillId="0" borderId="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0" fillId="0" borderId="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1" fillId="0" borderId="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2" fillId="0" borderId="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3" fillId="0" borderId="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4" fillId="0" borderId="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5" fillId="0" borderId="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6" fillId="0" borderId="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7" fillId="0" borderId="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8" fillId="0" borderId="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9" fillId="0" borderId="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0" fillId="0" borderId="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1" fillId="0" borderId="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2" fillId="0" borderId="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3" fillId="0" borderId="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" fillId="0" borderId="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" fillId="0" borderId="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" fillId="0" borderId="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" fillId="0" borderId="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" fillId="0" borderId="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" fillId="0" borderId="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0" fillId="0" borderId="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1" fillId="0" borderId="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82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4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5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7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8" fillId="0" borderId="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9" fillId="0" borderId="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0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1" fillId="0" borderId="1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92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3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4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5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6" fillId="0" borderId="1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97" fillId="0" borderId="1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98" fillId="0" borderId="1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99" fillId="0" borderId="1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3" fillId="0" borderId="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5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7" fillId="0" borderId="1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9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1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5" fillId="0" borderId="1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7" fillId="0" borderId="1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9" fillId="0" borderId="1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1" fillId="0" borderId="1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3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1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1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7" fillId="0" borderId="1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9" fillId="0" borderId="1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1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5" fillId="0" borderId="1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7" fillId="0" borderId="1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9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3" fillId="0" borderId="1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" fillId="0" borderId="1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1" fillId="0" borderId="1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3" fillId="0" borderId="1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5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9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1" fillId="0" borderId="1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3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5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9" fillId="0" borderId="1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1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3" fillId="0" borderId="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7" fillId="0" borderId="1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9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5" fillId="0" borderId="1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7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1" fillId="0" borderId="1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3" fillId="0" borderId="1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5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1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9" fillId="0" borderId="1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1" fillId="0" borderId="1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3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7" fillId="0" borderId="1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9" fillId="0" borderId="1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1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5" fillId="0" borderId="1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7" fillId="0" borderId="1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9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1" fillId="0" borderId="1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3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0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7" fillId="0" borderId="10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8" fillId="0" borderId="10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9" fillId="0" borderId="10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0" fillId="0" borderId="10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1" fillId="0" borderId="10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2" fillId="0" borderId="10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3" fillId="0" borderId="10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4" fillId="0" borderId="11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75" fillId="0" borderId="11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6" fillId="0" borderId="11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7" fillId="0" borderId="11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8" fillId="0" borderId="11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9" fillId="0" borderId="11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0" fillId="0" borderId="11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1" fillId="0" borderId="11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2" fillId="0" borderId="11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3" fillId="0" borderId="11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4" fillId="0" borderId="11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5" fillId="0" borderId="11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6" fillId="0" borderId="11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7" fillId="0" borderId="11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8" fillId="0" borderId="11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9" fillId="0" borderId="11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0" fillId="0" borderId="11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1" fillId="0" borderId="11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2" fillId="0" borderId="11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3" fillId="0" borderId="11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4" fillId="0" borderId="11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5" fillId="0" borderId="11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6" fillId="0" borderId="11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7" fillId="0" borderId="1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8" fillId="0" borderId="11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9" fillId="0" borderId="1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0" fillId="0" borderId="11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1" fillId="0" borderId="11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2" fillId="0" borderId="11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503" fillId="0" borderId="112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504" fillId="0" borderId="11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505" fillId="0" borderId="1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6" fillId="0" borderId="11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507" fillId="0" borderId="113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508" fillId="0" borderId="11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509" fillId="0" borderId="1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0" fillId="0" borderId="1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511" fillId="0" borderId="113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512" fillId="0" borderId="11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513" fillId="0" borderId="11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4" fillId="0" borderId="11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515" fillId="0" borderId="114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516" fillId="0" borderId="11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517" fillId="0" borderId="11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8" fillId="0" borderId="11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19" fillId="0" borderId="1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0" fillId="0" borderId="11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1" fillId="0" borderId="11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2" fillId="0" borderId="11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3" fillId="0" borderId="11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4" fillId="0" borderId="11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5" fillId="0" borderId="11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6" fillId="0" borderId="11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7" fillId="0" borderId="11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8" fillId="0" borderId="11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9" fillId="0" borderId="1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0" fillId="0" borderId="11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1" fillId="0" borderId="11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2" fillId="0" borderId="11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3" fillId="0" borderId="11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4" fillId="0" borderId="11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535" fillId="0" borderId="11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6" fillId="0" borderId="11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7" fillId="0" borderId="11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0" fillId="0" borderId="1164" xfId="0"/>
    <xf numFmtId="0" fontId="0" fillId="0" borderId="1165" xfId="0" applyBorder="true"/>
    <xf numFmtId="0" fontId="1539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67" xfId="0"/>
    <xf numFmtId="0" fontId="0" fillId="0" borderId="1168" xfId="0"/>
    <xf numFmtId="0" fontId="0" fillId="0" borderId="1169" xfId="0"/>
    <xf numFmtId="0" fontId="0" fillId="0" borderId="1170" xfId="0" applyBorder="true"/>
    <xf numFmtId="0" fontId="1540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77" xfId="0"/>
    <xf numFmtId="0" fontId="0" fillId="0" borderId="1178" xfId="0"/>
    <xf numFmtId="0" fontId="0" fillId="0" borderId="1179" xfId="0"/>
    <xf numFmtId="0" fontId="0" fillId="0" borderId="1180" xfId="0"/>
    <xf numFmtId="0" fontId="0" fillId="0" borderId="1181" xfId="0"/>
    <xf numFmtId="0" fontId="1546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86" xfId="0"/>
    <xf numFmtId="0" fontId="1551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3" fillId="0" borderId="1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4" fillId="0" borderId="1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5" fillId="0" borderId="1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6" fillId="0" borderId="1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7" fillId="0" borderId="1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8" fillId="0" borderId="1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9" fillId="0" borderId="1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0" fillId="0" borderId="1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1" fillId="0" borderId="1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2" fillId="0" borderId="1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3" fillId="0" borderId="1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4" fillId="0" borderId="1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5" fillId="0" borderId="1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6" fillId="0" borderId="1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7" fillId="0" borderId="1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8" fillId="0" borderId="1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9" fillId="0" borderId="1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0" fillId="0" borderId="1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1" fillId="0" borderId="1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2" fillId="0" borderId="1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3" fillId="0" borderId="1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4" fillId="0" borderId="1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5" fillId="0" borderId="1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6" fillId="0" borderId="1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77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8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9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0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1" fillId="0" borderId="1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2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3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4" fillId="0" borderId="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5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6" fillId="0" borderId="1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87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8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9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0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1" fillId="0" borderId="1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92" fillId="0" borderId="1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93" fillId="0" borderId="1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94" fillId="0" borderId="1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6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8" fillId="0" borderId="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2" fillId="0" borderId="1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4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6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10" fillId="0" borderId="1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2" fillId="0" borderId="1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4" fillId="0" borderId="1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6" fillId="0" borderId="1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8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6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2" fillId="0" borderId="1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4" fillId="0" borderId="1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6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0" fillId="0" borderId="1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2" fillId="0" borderId="1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4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8" fillId="0" borderId="1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0" fillId="0" borderId="1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2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6" fillId="0" borderId="1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8" fillId="0" borderId="1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0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2" fillId="0" borderId="1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4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6" fillId="0" borderId="1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8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0" fillId="0" borderId="1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2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4" fillId="0" borderId="1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8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0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2" fillId="0" borderId="1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4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6" fillId="0" borderId="1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8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0" fillId="0" borderId="1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2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6" fillId="0" borderId="1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8" fillId="0" borderId="1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0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4" fillId="0" borderId="1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6" fillId="0" borderId="1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8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2" fillId="0" borderId="1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4" fillId="0" borderId="1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6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0" fillId="0" borderId="1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2" fillId="0" borderId="1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4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6" fillId="0" borderId="1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8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" fillId="0" borderId="13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2" fillId="0" borderId="13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3" fillId="0" borderId="1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4" fillId="0" borderId="13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5" fillId="0" borderId="13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6" fillId="0" borderId="13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7" fillId="0" borderId="13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8" fillId="0" borderId="13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9" fillId="0" borderId="1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0" fillId="0" borderId="13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1" fillId="0" borderId="13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2" fillId="0" borderId="13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3" fillId="0" borderId="13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4" fillId="0" borderId="13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5" fillId="0" borderId="13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6" fillId="0" borderId="13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7" fillId="0" borderId="13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8" fillId="0" borderId="13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79" fillId="0" borderId="13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80" fillId="0" borderId="13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81" fillId="0" borderId="13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82" fillId="0" borderId="13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3" fillId="0" borderId="13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4" fillId="0" borderId="13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5" fillId="0" borderId="1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86" fillId="0" borderId="13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7" fillId="0" borderId="13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8" fillId="0" borderId="13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9" fillId="0" borderId="13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90" fillId="0" borderId="1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1" fillId="0" borderId="1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2" fillId="0" borderId="1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3" fillId="0" borderId="13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94" fillId="0" borderId="13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5" fillId="0" borderId="13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6" fillId="0" borderId="13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7" fillId="0" borderId="13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798" fillId="0" borderId="135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799" fillId="0" borderId="13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800" fillId="0" borderId="1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01" fillId="0" borderId="13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802" fillId="0" borderId="135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803" fillId="0" borderId="13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804" fillId="0" borderId="13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05" fillId="0" borderId="13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806" fillId="0" borderId="135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807" fillId="0" borderId="13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808" fillId="0" borderId="1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09" fillId="0" borderId="13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810" fillId="0" borderId="136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811" fillId="0" borderId="13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812" fillId="0" borderId="1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3" fillId="0" borderId="13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14" fillId="0" borderId="13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5" fillId="0" borderId="13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6" fillId="0" borderId="13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7" fillId="0" borderId="13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18" fillId="0" borderId="13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9" fillId="0" borderId="13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0" fillId="0" borderId="13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1" fillId="0" borderId="13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2" fillId="0" borderId="13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3" fillId="0" borderId="13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4" fillId="0" borderId="13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5" fillId="0" borderId="13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6" fillId="0" borderId="13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7" fillId="0" borderId="13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8" fillId="0" borderId="13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9" fillId="0" borderId="13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830" fillId="0" borderId="13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1" fillId="0" borderId="13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32" fillId="0" borderId="13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34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87" xfId="0"/>
    <xf numFmtId="0" fontId="0" fillId="0" borderId="1388" xfId="0" applyBorder="true"/>
    <xf numFmtId="0" fontId="0" fillId="0" borderId="1389" xfId="0"/>
    <xf numFmtId="0" fontId="1836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91" xfId="0"/>
    <xf numFmtId="0" fontId="0" fillId="0" borderId="1392" xfId="0"/>
    <xf numFmtId="0" fontId="0" fillId="0" borderId="1393" xfId="0" applyBorder="true"/>
    <xf numFmtId="0" fontId="1837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97" xfId="0" applyBorder="true"/>
    <xf numFmtId="0" fontId="0" fillId="0" borderId="1398" xfId="0"/>
    <xf numFmtId="0" fontId="0" fillId="0" borderId="1399" xfId="0"/>
    <xf numFmtId="0" fontId="0" fillId="0" borderId="1400" xfId="0"/>
    <xf numFmtId="0" fontId="0" fillId="0" borderId="1401" xfId="0"/>
    <xf numFmtId="0" fontId="0" fillId="0" borderId="1402" xfId="0"/>
    <xf numFmtId="0" fontId="0" fillId="0" borderId="1403" xfId="0"/>
    <xf numFmtId="0" fontId="0" fillId="0" borderId="1404" xfId="0" applyBorder="true"/>
    <xf numFmtId="0" fontId="0" fillId="0" borderId="1405" xfId="0"/>
    <xf numFmtId="0" fontId="1840" fillId="0" borderId="1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2" fillId="0" borderId="1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3" fillId="0" borderId="1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4" fillId="0" borderId="1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5" fillId="0" borderId="1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6" fillId="0" borderId="1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7" fillId="0" borderId="1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8" fillId="0" borderId="1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9" fillId="0" borderId="1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0" fillId="0" borderId="1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1" fillId="0" borderId="1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2" fillId="0" borderId="1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3" fillId="0" borderId="1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4" fillId="0" borderId="1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5" fillId="0" borderId="1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6" fillId="0" borderId="1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57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8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9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0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1" fillId="0" borderId="1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2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3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4" fillId="0" borderId="1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65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6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7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8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9" fillId="0" borderId="1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70" fillId="0" borderId="1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71" fillId="0" borderId="1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72" fillId="0" borderId="1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73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4" fillId="0" borderId="1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6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0" fillId="0" borderId="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2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84" fillId="0" borderId="1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6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0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92" fillId="0" borderId="1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4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4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1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2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6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8" fillId="0" borderId="1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0" fillId="0" borderId="1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2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6" fillId="0" borderId="1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8" fillId="0" borderId="1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0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4" fillId="0" borderId="1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6" fillId="0" borderId="1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8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2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4" fillId="0" borderId="1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6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8" fillId="0" borderId="1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0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72" fillId="0" borderId="1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4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6" fillId="0" borderId="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8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0" fillId="0" borderId="1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2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6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8" fillId="0" borderId="1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0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4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2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1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0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1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8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1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6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1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4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15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38" fillId="0" borderId="15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39" fillId="0" borderId="15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0" fillId="0" borderId="15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1" fillId="0" borderId="15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2" fillId="0" borderId="15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3" fillId="0" borderId="15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4" fillId="0" borderId="15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5" fillId="0" borderId="15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6" fillId="0" borderId="15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7" fillId="0" borderId="15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8" fillId="0" borderId="15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9" fillId="0" borderId="1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0" fillId="0" borderId="15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1" fillId="0" borderId="1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2" fillId="0" borderId="15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3" fillId="0" borderId="15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4" fillId="0" borderId="15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5" fillId="0" borderId="15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6" fillId="0" borderId="15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7" fillId="0" borderId="15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8" fillId="0" borderId="15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9" fillId="0" borderId="15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0" fillId="0" borderId="15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1" fillId="0" borderId="15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62" fillId="0" borderId="15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3" fillId="0" borderId="15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4" fillId="0" borderId="15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5" fillId="0" borderId="15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66" fillId="0" borderId="15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7" fillId="0" borderId="15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8" fillId="0" borderId="15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9" fillId="0" borderId="15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070" fillId="0" borderId="155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2071" fillId="0" borderId="15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072" fillId="0" borderId="1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73" fillId="0" borderId="15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074" fillId="0" borderId="155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2075" fillId="0" borderId="15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076" fillId="0" borderId="15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77" fillId="0" borderId="15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078" fillId="0" borderId="156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2079" fillId="0" borderId="15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080" fillId="0" borderId="1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1" fillId="0" borderId="15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082" fillId="0" borderId="156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2083" fillId="0" borderId="15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084" fillId="0" borderId="1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5" fillId="0" borderId="15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86" fillId="0" borderId="15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7" fillId="0" borderId="15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88" fillId="0" borderId="15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89" fillId="0" borderId="15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90" fillId="0" borderId="1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1" fillId="0" borderId="15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92" fillId="0" borderId="15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93" fillId="0" borderId="15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94" fillId="0" borderId="1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5" fillId="0" borderId="15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96" fillId="0" borderId="15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97" fillId="0" borderId="15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98" fillId="0" borderId="1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9" fillId="0" borderId="15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0" fillId="0" borderId="15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1" fillId="0" borderId="15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2" fillId="0" borderId="15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03" fillId="0" borderId="15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4" fillId="0" borderId="15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5" fillId="0" borderId="15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106" fillId="0" borderId="15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07" fillId="0" borderId="15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8" fillId="0" borderId="15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FormatPr defaultRowHeight="15"/>
  <sheetData>
    <row r="1">
      <c r="A1" s="646"/>
      <c r="B1" s="647"/>
      <c r="C1" s="648"/>
      <c r="D1" s="649"/>
      <c r="E1" s="650"/>
      <c r="F1" s="651"/>
      <c r="G1" s="652"/>
      <c r="H1" s="653"/>
    </row>
    <row r="2">
      <c r="A2" s="654"/>
      <c r="B2" s="655"/>
      <c r="C2" s="656"/>
      <c r="D2" s="657"/>
      <c r="E2" s="658"/>
      <c r="F2" s="659"/>
      <c r="G2" s="660"/>
      <c r="H2" s="661"/>
    </row>
    <row r="3">
      <c r="A3" s="662" t="s">
        <v>38</v>
      </c>
      <c r="B3" s="663"/>
      <c r="C3" s="664"/>
      <c r="D3" s="665"/>
      <c r="E3" s="666"/>
      <c r="F3" s="667"/>
      <c r="G3" s="668"/>
      <c r="H3" s="669"/>
    </row>
    <row r="4">
      <c r="A4" s="670"/>
      <c r="B4" s="671"/>
      <c r="C4" s="672"/>
      <c r="D4" s="673"/>
      <c r="E4" s="674"/>
      <c r="F4" s="675"/>
      <c r="G4" s="676"/>
      <c r="H4" s="677"/>
    </row>
    <row r="5">
      <c r="A5" s="678" t="s">
        <v>0</v>
      </c>
      <c r="B5" s="679"/>
      <c r="C5" s="680"/>
      <c r="D5" s="681"/>
      <c r="E5" s="682"/>
      <c r="F5" s="683"/>
      <c r="G5" s="684"/>
      <c r="H5" s="685"/>
    </row>
    <row r="6">
      <c r="A6" s="686" t="s">
        <v>1</v>
      </c>
      <c r="B6" s="687" t="s">
        <v>2</v>
      </c>
      <c r="C6" s="688"/>
      <c r="D6" s="689"/>
      <c r="E6" s="690"/>
      <c r="F6" s="691" t="s">
        <v>3</v>
      </c>
      <c r="G6" s="692"/>
      <c r="H6" s="693"/>
    </row>
    <row r="7">
      <c r="A7" s="694"/>
      <c r="B7" s="695" t="s">
        <v>4</v>
      </c>
      <c r="C7" s="696"/>
      <c r="D7" s="697" t="s">
        <v>5</v>
      </c>
      <c r="E7" s="698"/>
      <c r="F7" s="699" t="s">
        <v>4</v>
      </c>
      <c r="G7" s="700"/>
      <c r="H7" s="701" t="s">
        <v>5</v>
      </c>
    </row>
    <row r="8">
      <c r="A8" s="702" t="s">
        <v>6</v>
      </c>
      <c r="B8" s="703">
        <v>-0.027327345663785599</v>
      </c>
      <c r="C8" s="704">
        <f>IF(.0469910666491404&gt;=0.10,"",IF(.0469910666491404&gt;=0.05,"*",IF(.0469910666491404&gt;=0.01,"**",IF(.0469910666491404&gt;=0,"***",""))))</f>
      </c>
      <c r="D8" s="705">
        <v>0.046991066649140399</v>
      </c>
      <c r="E8" s="706"/>
      <c r="F8" s="707">
        <v>-0.13342072936894631</v>
      </c>
      <c r="G8" s="708">
        <f>IF(.0121408154575026&gt;=0.10,"",IF(.0121408154575026&gt;=0.05,"*",IF(.0121408154575026&gt;=0.01,"**",IF(.0121408154575026&gt;=0,"***",""))))</f>
      </c>
      <c r="H8" s="709">
        <v>0.012140815457502599</v>
      </c>
    </row>
    <row r="9">
      <c r="A9" s="710"/>
      <c r="B9" s="711"/>
      <c r="C9" s="712"/>
      <c r="D9" s="713"/>
      <c r="E9" s="714"/>
      <c r="F9" s="715"/>
      <c r="G9" s="716"/>
      <c r="H9" s="717"/>
    </row>
    <row r="10">
      <c r="A10" s="718" t="s">
        <v>7</v>
      </c>
      <c r="B10" s="719">
        <v>-0.053815835897310198</v>
      </c>
      <c r="C10" s="720">
        <f>IF(.2478744402645815&gt;=0.10,"",IF(.2478744402645815&gt;=0.05,"*",IF(.2478744402645815&gt;=0.01,"**",IF(.2478744402645815&gt;=0,"***",""))))</f>
      </c>
      <c r="D10" s="721">
        <v>0.2478744402645815</v>
      </c>
      <c r="E10" s="722"/>
      <c r="F10" s="723">
        <v>-0.23172110646690519</v>
      </c>
      <c r="G10" s="724">
        <f>IF(.1663336261060836&gt;=0.10,"",IF(.1663336261060836&gt;=0.05,"*",IF(.1663336261060836&gt;=0.01,"**",IF(.1663336261060836&gt;=0,"***",""))))</f>
      </c>
      <c r="H10" s="725">
        <v>0.1663336261060836</v>
      </c>
    </row>
    <row r="11">
      <c r="A11" s="726" t="s">
        <v>8</v>
      </c>
      <c r="B11" s="727">
        <v>-0.0048734713302510998</v>
      </c>
      <c r="C11" s="728">
        <f>IF(.7471599597608116&gt;=0.10,"",IF(.7471599597608116&gt;=0.05,"*",IF(.7471599597608116&gt;=0.01,"**",IF(.7471599597608116&gt;=0,"***",""))))</f>
      </c>
      <c r="D11" s="729">
        <v>0.74715995976081162</v>
      </c>
      <c r="E11" s="730"/>
      <c r="F11" s="731">
        <v>0.038892060769438498</v>
      </c>
      <c r="G11" s="732">
        <f>IF(.5129092131011237&gt;=0.10,"",IF(.5129092131011237&gt;=0.05,"*",IF(.5129092131011237&gt;=0.01,"**",IF(.5129092131011237&gt;=0,"***",""))))</f>
      </c>
      <c r="H11" s="733">
        <v>0.5129092131011237</v>
      </c>
    </row>
    <row r="12">
      <c r="A12" s="734" t="s">
        <v>9</v>
      </c>
      <c r="B12" s="735">
        <v>-0.64013891169758319</v>
      </c>
      <c r="C12" s="736">
        <f>IF(.0007458528755052&gt;=0.10,"",IF(.0007458528755052&gt;=0.05,"*",IF(.0007458528755052&gt;=0.01,"**",IF(.0007458528755052&gt;=0,"***",""))))</f>
      </c>
      <c r="D12" s="737">
        <v>0.00074585287550519999</v>
      </c>
      <c r="E12" s="738"/>
      <c r="F12" s="739">
        <v>-1.8805947548223581</v>
      </c>
      <c r="G12" s="740">
        <f>IF(.0019539737370957&gt;=0.10,"",IF(.0019539737370957&gt;=0.05,"*",IF(.0019539737370957&gt;=0.01,"**",IF(.0019539737370957&gt;=0,"***",""))))</f>
      </c>
      <c r="H12" s="741">
        <v>0.0019539737370956999</v>
      </c>
    </row>
    <row r="13">
      <c r="A13" s="742" t="s">
        <v>10</v>
      </c>
      <c r="B13" s="743">
        <v>0.1267669663480579</v>
      </c>
      <c r="C13" s="744">
        <f>IF(.490314665814462&gt;=0.10,"",IF(.490314665814462&gt;=0.05,"*",IF(.490314665814462&gt;=0.01,"**",IF(.490314665814462&gt;=0,"***",""))))</f>
      </c>
      <c r="D13" s="745">
        <v>0.49031466581446198</v>
      </c>
      <c r="E13" s="746"/>
      <c r="F13" s="747">
        <v>1.041953975372893</v>
      </c>
      <c r="G13" s="748">
        <f>IF(.1793994251208729&gt;=0.10,"",IF(.1793994251208729&gt;=0.05,"*",IF(.1793994251208729&gt;=0.01,"**",IF(.1793994251208729&gt;=0,"***",""))))</f>
      </c>
      <c r="H13" s="749">
        <v>0.1793994251208729</v>
      </c>
    </row>
    <row r="14">
      <c r="A14" s="750" t="s">
        <v>11</v>
      </c>
      <c r="B14" s="751">
        <v>0.19703906797881951</v>
      </c>
      <c r="C14" s="752">
        <f>IF(.5707263872080466&gt;=0.10,"",IF(.5707263872080466&gt;=0.05,"*",IF(.5707263872080466&gt;=0.01,"**",IF(.5707263872080466&gt;=0,"***",""))))</f>
      </c>
      <c r="D14" s="753">
        <v>0.57072638720804658</v>
      </c>
      <c r="E14" s="754"/>
      <c r="F14" s="755">
        <v>-0.36804617926227151</v>
      </c>
      <c r="G14" s="756">
        <f>IF(.7469024446958126&gt;=0.10,"",IF(.7469024446958126&gt;=0.05,"*",IF(.7469024446958126&gt;=0.01,"**",IF(.7469024446958126&gt;=0,"***",""))))</f>
      </c>
      <c r="H14" s="757">
        <v>0.74690244469581257</v>
      </c>
    </row>
    <row r="15">
      <c r="A15" s="758" t="s">
        <v>12</v>
      </c>
      <c r="B15" s="759">
        <v>-0.015788659179278901</v>
      </c>
      <c r="C15" s="760">
        <f>IF(.8128780043301341&gt;=0.10,"",IF(.8128780043301341&gt;=0.05,"*",IF(.8128780043301341&gt;=0.01,"**",IF(.8128780043301341&gt;=0,"***",""))))</f>
      </c>
      <c r="D15" s="761">
        <v>0.81287800433013413</v>
      </c>
      <c r="E15" s="762"/>
      <c r="F15" s="763">
        <v>0.24647619712030941</v>
      </c>
      <c r="G15" s="764">
        <f>IF(.3929791033091938&gt;=0.10,"",IF(.3929791033091938&gt;=0.05,"*",IF(.3929791033091938&gt;=0.01,"**",IF(.3929791033091938&gt;=0,"***",""))))</f>
      </c>
      <c r="H15" s="765">
        <v>0.39297910330919378</v>
      </c>
    </row>
    <row r="16">
      <c r="A16" s="766" t="s">
        <v>13</v>
      </c>
      <c r="B16" s="767">
        <v>0.0754007433519083</v>
      </c>
      <c r="C16" s="768">
        <f>IF(.6718261802345327&gt;=0.10,"",IF(.6718261802345327&gt;=0.05,"*",IF(.6718261802345327&gt;=0.01,"**",IF(.6718261802345327&gt;=0,"***",""))))</f>
      </c>
      <c r="D16" s="769">
        <v>0.67182618023453267</v>
      </c>
      <c r="E16" s="770"/>
      <c r="F16" s="771">
        <v>1.046718802248805</v>
      </c>
      <c r="G16" s="772">
        <f>IF(.2305246881156225&gt;=0.10,"",IF(.2305246881156225&gt;=0.05,"*",IF(.2305246881156225&gt;=0.01,"**",IF(.2305246881156225&gt;=0,"***",""))))</f>
      </c>
      <c r="H16" s="773">
        <v>0.23052468811562249</v>
      </c>
    </row>
    <row r="17">
      <c r="A17" s="774" t="s">
        <v>14</v>
      </c>
      <c r="B17" s="775">
        <v>-0.39331746997067368</v>
      </c>
      <c r="C17" s="776">
        <f>IF(.0031447428766841&gt;=0.10,"",IF(.0031447428766841&gt;=0.05,"*",IF(.0031447428766841&gt;=0.01,"**",IF(.0031447428766841&gt;=0,"***",""))))</f>
      </c>
      <c r="D17" s="777">
        <v>0.0031447428766841002</v>
      </c>
      <c r="E17" s="778"/>
      <c r="F17" s="779">
        <v>-1.7217437276154159</v>
      </c>
      <c r="G17" s="780">
        <f>IF(.0007664353743688&gt;=0.10,"",IF(.0007664353743688&gt;=0.05,"*",IF(.0007664353743688&gt;=0.01,"**",IF(.0007664353743688&gt;=0,"***",""))))</f>
      </c>
      <c r="H17" s="781">
        <v>0.00076643537436879995</v>
      </c>
    </row>
    <row r="18">
      <c r="A18" s="782" t="s">
        <v>15</v>
      </c>
      <c r="B18" s="783">
        <v>-0.2076396857928256</v>
      </c>
      <c r="C18" s="784">
        <f>IF(.0186276257982873&gt;=0.10,"",IF(.0186276257982873&gt;=0.05,"*",IF(.0186276257982873&gt;=0.01,"**",IF(.0186276257982873&gt;=0,"***",""))))</f>
      </c>
      <c r="D18" s="785">
        <v>0.018627625798287299</v>
      </c>
      <c r="E18" s="786"/>
      <c r="F18" s="787">
        <v>-0.67556490278361447</v>
      </c>
      <c r="G18" s="788">
        <f>IF(.0234290010843713&gt;=0.10,"",IF(.0234290010843713&gt;=0.05,"*",IF(.0234290010843713&gt;=0.01,"**",IF(.0234290010843713&gt;=0,"***",""))))</f>
      </c>
      <c r="H18" s="789">
        <v>0.0234290010843713</v>
      </c>
    </row>
    <row r="19">
      <c r="A19" s="790" t="s">
        <v>16</v>
      </c>
      <c r="B19" s="791">
        <v>-0.12597021864531499</v>
      </c>
      <c r="C19" s="792">
        <f>IF(.2628160285456056&gt;=0.10,"",IF(.2628160285456056&gt;=0.05,"*",IF(.2628160285456056&gt;=0.01,"**",IF(.2628160285456056&gt;=0,"***",""))))</f>
      </c>
      <c r="D19" s="793">
        <v>0.2628160285456056</v>
      </c>
      <c r="E19" s="794"/>
      <c r="F19" s="795">
        <v>-0.84861646493379206</v>
      </c>
      <c r="G19" s="796">
        <f>IF(.0509370098713579&gt;=0.10,"",IF(.0509370098713579&gt;=0.05,"*",IF(.0509370098713579&gt;=0.01,"**",IF(.0509370098713579&gt;=0,"***",""))))</f>
      </c>
      <c r="H19" s="797">
        <v>0.050937009871357901</v>
      </c>
    </row>
    <row r="20">
      <c r="A20" s="798" t="s">
        <v>17</v>
      </c>
      <c r="B20" s="799">
        <v>0.018933603612993202</v>
      </c>
      <c r="C20" s="800">
        <f>IF(.3341761273077691&gt;=0.10,"",IF(.3341761273077691&gt;=0.05,"*",IF(.3341761273077691&gt;=0.01,"**",IF(.3341761273077691&gt;=0,"***",""))))</f>
      </c>
      <c r="D20" s="801">
        <v>0.33417612730776908</v>
      </c>
      <c r="E20" s="802"/>
      <c r="F20" s="803">
        <v>0.096730117743384997</v>
      </c>
      <c r="G20" s="804">
        <f>IF(.2298129805022835&gt;=0.10,"",IF(.2298129805022835&gt;=0.05,"*",IF(.2298129805022835&gt;=0.01,"**",IF(.2298129805022835&gt;=0,"***",""))))</f>
      </c>
      <c r="H20" s="805">
        <v>0.22981298050228349</v>
      </c>
    </row>
    <row r="21">
      <c r="A21" s="806" t="s">
        <v>18</v>
      </c>
      <c r="B21" s="807">
        <v>0.0196108991852008</v>
      </c>
      <c r="C21" s="808">
        <f>IF(.3723725763656542&gt;=0.10,"",IF(.3723725763656542&gt;=0.05,"*",IF(.3723725763656542&gt;=0.01,"**",IF(.3723725763656542&gt;=0,"***",""))))</f>
      </c>
      <c r="D21" s="809">
        <v>0.37237257636565418</v>
      </c>
      <c r="E21" s="810"/>
      <c r="F21" s="811">
        <v>0.022931783766104701</v>
      </c>
      <c r="G21" s="812">
        <f>IF(.7878913440229104&gt;=0.10,"",IF(.7878913440229104&gt;=0.05,"*",IF(.7878913440229104&gt;=0.01,"**",IF(.7878913440229104&gt;=0,"***",""))))</f>
      </c>
      <c r="H21" s="813">
        <v>0.78789134402291039</v>
      </c>
    </row>
    <row r="22">
      <c r="A22" s="814" t="s">
        <v>19</v>
      </c>
      <c r="B22" s="815">
        <v>0.072575153144443794</v>
      </c>
      <c r="C22" s="816">
        <f>IF(.2632745025594132&gt;=0.10,"",IF(.2632745025594132&gt;=0.05,"*",IF(.2632745025594132&gt;=0.01,"**",IF(.2632745025594132&gt;=0,"***",""))))</f>
      </c>
      <c r="D22" s="817">
        <v>0.2632745025594132</v>
      </c>
      <c r="E22" s="818"/>
      <c r="F22" s="819">
        <v>0.3084864718553546</v>
      </c>
      <c r="G22" s="820">
        <f>IF(.1783683616174084&gt;=0.10,"",IF(.1783683616174084&gt;=0.05,"*",IF(.1783683616174084&gt;=0.01,"**",IF(.1783683616174084&gt;=0,"***",""))))</f>
      </c>
      <c r="H22" s="821">
        <v>0.17836836161740841</v>
      </c>
    </row>
    <row r="23">
      <c r="A23" s="822" t="s">
        <v>20</v>
      </c>
      <c r="B23" s="823">
        <v>0.089740142580035404</v>
      </c>
      <c r="C23" s="824">
        <f>IF(.1274112118545942&gt;=0.10,"",IF(.1274112118545942&gt;=0.05,"*",IF(.1274112118545942&gt;=0.01,"**",IF(.1274112118545942&gt;=0,"***",""))))</f>
      </c>
      <c r="D23" s="825">
        <v>0.1274112118545942</v>
      </c>
      <c r="E23" s="826"/>
      <c r="F23" s="827">
        <v>0.29604398323825681</v>
      </c>
      <c r="G23" s="828">
        <f>IF(.1087072846321744&gt;=0.10,"",IF(.1087072846321744&gt;=0.05,"*",IF(.1087072846321744&gt;=0.01,"**",IF(.1087072846321744&gt;=0,"***",""))))</f>
      </c>
      <c r="H23" s="829">
        <v>0.1087072846321744</v>
      </c>
    </row>
    <row r="24">
      <c r="A24" s="830" t="s">
        <v>21</v>
      </c>
      <c r="B24" s="831">
        <v>-0.0093955640135504007</v>
      </c>
      <c r="C24" s="832">
        <f>IF(.1029620292612566&gt;=0.10,"",IF(.1029620292612566&gt;=0.05,"*",IF(.1029620292612566&gt;=0.01,"**",IF(.1029620292612566&gt;=0,"***",""))))</f>
      </c>
      <c r="D24" s="833">
        <v>0.1029620292612566</v>
      </c>
      <c r="E24" s="834"/>
      <c r="F24" s="835">
        <v>-0.0088736455885512003</v>
      </c>
      <c r="G24" s="836">
        <f>IF(.6401996069801119&gt;=0.10,"",IF(.6401996069801119&gt;=0.05,"*",IF(.6401996069801119&gt;=0.01,"**",IF(.6401996069801119&gt;=0,"***",""))))</f>
      </c>
      <c r="H24" s="837">
        <v>0.64019960698011191</v>
      </c>
    </row>
    <row r="25">
      <c r="A25" s="838" t="s">
        <v>22</v>
      </c>
      <c r="B25" s="839">
        <v>0.0086922743731642008</v>
      </c>
      <c r="C25" s="840">
        <f>IF(.753880337057107&gt;=0.10,"",IF(.753880337057107&gt;=0.05,"*",IF(.753880337057107&gt;=0.01,"**",IF(.753880337057107&gt;=0,"***",""))))</f>
      </c>
      <c r="D25" s="841">
        <v>0.753880337057107</v>
      </c>
      <c r="E25" s="842"/>
      <c r="F25" s="843">
        <v>0.0136688272110432</v>
      </c>
      <c r="G25" s="844">
        <f>IF(.9128114039596257&gt;=0.10,"",IF(.9128114039596257&gt;=0.05,"*",IF(.9128114039596257&gt;=0.01,"**",IF(.9128114039596257&gt;=0,"***",""))))</f>
      </c>
      <c r="H25" s="845">
        <v>0.91281140395962568</v>
      </c>
    </row>
    <row r="26">
      <c r="A26" s="846" t="s">
        <v>23</v>
      </c>
      <c r="B26" s="847">
        <v>-0.0152055355640482</v>
      </c>
      <c r="C26" s="848">
        <f>IF(.255585691376663&gt;=0.10,"",IF(.255585691376663&gt;=0.05,"*",IF(.255585691376663&gt;=0.01,"**",IF(.255585691376663&gt;=0,"***",""))))</f>
      </c>
      <c r="D26" s="849">
        <v>0.25558569137666298</v>
      </c>
      <c r="E26" s="850"/>
      <c r="F26" s="851">
        <v>-0.097263028074160499</v>
      </c>
      <c r="G26" s="852">
        <f>IF(.076852799686561&gt;=0.10,"",IF(.076852799686561&gt;=0.05,"*",IF(.076852799686561&gt;=0.01,"**",IF(.076852799686561&gt;=0,"***",""))))</f>
      </c>
      <c r="H26" s="853">
        <v>0.076852799686561002</v>
      </c>
    </row>
    <row r="27">
      <c r="A27" s="854" t="s">
        <v>24</v>
      </c>
      <c r="B27" s="855">
        <v>-0.0037193617505643</v>
      </c>
      <c r="C27" s="856">
        <f>IF(.8449354204089898&gt;=0.10,"",IF(.8449354204089898&gt;=0.05,"*",IF(.8449354204089898&gt;=0.01,"**",IF(.8449354204089898&gt;=0,"***",""))))</f>
      </c>
      <c r="D27" s="857">
        <v>0.84493542040898983</v>
      </c>
      <c r="E27" s="858"/>
      <c r="F27" s="859">
        <v>0.025895354903895801</v>
      </c>
      <c r="G27" s="860">
        <f>IF(.7438966684615336&gt;=0.10,"",IF(.7438966684615336&gt;=0.05,"*",IF(.7438966684615336&gt;=0.01,"**",IF(.7438966684615336&gt;=0,"***",""))))</f>
      </c>
      <c r="H27" s="861">
        <v>0.74389666846153357</v>
      </c>
    </row>
    <row r="28">
      <c r="A28" s="862" t="s">
        <v>25</v>
      </c>
      <c r="B28" s="863">
        <v>-0.018379096019060501</v>
      </c>
      <c r="C28" s="864">
        <f>IF(.3103723510730523&gt;=0.10,"",IF(.3103723510730523&gt;=0.05,"*",IF(.3103723510730523&gt;=0.01,"**",IF(.3103723510730523&gt;=0,"***",""))))</f>
      </c>
      <c r="D28" s="865">
        <v>0.31037235107305228</v>
      </c>
      <c r="E28" s="866"/>
      <c r="F28" s="867">
        <v>-0.032557592177123999</v>
      </c>
      <c r="G28" s="868">
        <f>IF(.636241505412245&gt;=0.10,"",IF(.636241505412245&gt;=0.05,"*",IF(.636241505412245&gt;=0.01,"**",IF(.636241505412245&gt;=0,"***",""))))</f>
      </c>
      <c r="H28" s="869">
        <v>0.636241505412245</v>
      </c>
    </row>
    <row r="29">
      <c r="A29" s="870" t="s">
        <v>26</v>
      </c>
      <c r="B29" s="871">
        <v>-0.0019321700374875001</v>
      </c>
      <c r="C29" s="872">
        <f>IF(.9238169891315007&gt;=0.10,"",IF(.9238169891315007&gt;=0.05,"*",IF(.9238169891315007&gt;=0.01,"**",IF(.9238169891315007&gt;=0,"***",""))))</f>
      </c>
      <c r="D29" s="873">
        <v>0.92381698913150068</v>
      </c>
      <c r="E29" s="874"/>
      <c r="F29" s="875">
        <v>0.062362499219024703</v>
      </c>
      <c r="G29" s="876">
        <f>IF(.5734668292327583&gt;=0.10,"",IF(.5734668292327583&gt;=0.05,"*",IF(.5734668292327583&gt;=0.01,"**",IF(.5734668292327583&gt;=0,"***",""))))</f>
      </c>
      <c r="H29" s="877">
        <v>0.57346682923275827</v>
      </c>
    </row>
    <row r="30">
      <c r="A30" s="878" t="s">
        <v>27</v>
      </c>
      <c r="B30" s="879">
        <v>-0.021195103072326901</v>
      </c>
      <c r="C30" s="880">
        <f>IF(.5026587378659013&gt;=0.10,"",IF(.5026587378659013&gt;=0.05,"*",IF(.5026587378659013&gt;=0.01,"**",IF(.5026587378659013&gt;=0,"***",""))))</f>
      </c>
      <c r="D30" s="881">
        <v>0.50265873786590132</v>
      </c>
      <c r="E30" s="882"/>
      <c r="F30" s="883">
        <v>-0.078503107293131702</v>
      </c>
      <c r="G30" s="884">
        <f>IF(.4899124899344526&gt;=0.10,"",IF(.4899124899344526&gt;=0.05,"*",IF(.4899124899344526&gt;=0.01,"**",IF(.4899124899344526&gt;=0,"***",""))))</f>
      </c>
      <c r="H30" s="885">
        <v>0.48991248993445258</v>
      </c>
    </row>
    <row r="31">
      <c r="A31" s="886" t="s">
        <v>28</v>
      </c>
      <c r="B31" s="887">
        <v>0.012593091492389101</v>
      </c>
      <c r="C31" s="888">
        <f>IF(.5458893275721776&gt;=0.10,"",IF(.5458893275721776&gt;=0.05,"*",IF(.5458893275721776&gt;=0.01,"**",IF(.5458893275721776&gt;=0,"***",""))))</f>
      </c>
      <c r="D31" s="889">
        <v>0.54588932757217756</v>
      </c>
      <c r="E31" s="890"/>
      <c r="F31" s="891">
        <v>-0.0294629015947965</v>
      </c>
      <c r="G31" s="892">
        <f>IF(.7280448723010042&gt;=0.10,"",IF(.7280448723010042&gt;=0.05,"*",IF(.7280448723010042&gt;=0.01,"**",IF(.7280448723010042&gt;=0,"***",""))))</f>
      </c>
      <c r="H31" s="893">
        <v>0.72804487230100423</v>
      </c>
    </row>
    <row r="32">
      <c r="A32" s="894" t="s">
        <v>29</v>
      </c>
      <c r="B32" s="895">
        <v>0.48411609377513631</v>
      </c>
      <c r="C32" s="896">
        <f>IF(2.41065195475e-10&gt;=0.10,"",IF(2.41065195475e-10&gt;=0.05,"*",IF(2.41065195475e-10&gt;=0.01,"**",IF(2.41065195475e-10&gt;=0,"***",""))))</f>
      </c>
      <c r="D32" s="897">
        <v>2.4106519547500001e-10</v>
      </c>
      <c r="E32" s="898"/>
      <c r="F32" s="899">
        <v>1.346928165764876</v>
      </c>
      <c r="G32" s="900">
        <f>IF(3.63749328971e-07&gt;=0.10,"",IF(3.63749328971e-07&gt;=0.05,"*",IF(3.63749328971e-07&gt;=0.01,"**",IF(3.63749328971e-07&gt;=0,"***",""))))</f>
      </c>
      <c r="H32" s="901">
        <v>3.6374932897099999e-07</v>
      </c>
    </row>
    <row r="33">
      <c r="A33" s="902" t="s">
        <v>30</v>
      </c>
      <c r="B33" s="903" t="s">
        <v>35</v>
      </c>
      <c r="C33" s="904"/>
      <c r="D33" s="905"/>
      <c r="E33" s="906"/>
      <c r="F33" s="907" t="s">
        <v>35</v>
      </c>
      <c r="G33" s="908"/>
      <c r="H33" s="909"/>
    </row>
    <row r="34">
      <c r="A34" s="910" t="s">
        <v>31</v>
      </c>
      <c r="B34" s="911" t="s">
        <v>36</v>
      </c>
      <c r="C34" s="912"/>
      <c r="D34" s="913"/>
      <c r="E34" s="914"/>
      <c r="F34" s="915" t="s">
        <v>36</v>
      </c>
      <c r="G34" s="916"/>
      <c r="H34" s="917"/>
    </row>
    <row r="35">
      <c r="A35" s="918" t="s">
        <v>32</v>
      </c>
      <c r="B35" s="919" t="s">
        <v>37</v>
      </c>
      <c r="C35" s="920"/>
      <c r="D35" s="921"/>
      <c r="E35" s="922"/>
      <c r="F35" s="923" t="s">
        <v>37</v>
      </c>
      <c r="G35" s="924"/>
      <c r="H35" s="925"/>
    </row>
    <row r="36">
      <c r="A36" s="926" t="s">
        <v>33</v>
      </c>
      <c r="B36" s="927">
        <v>828</v>
      </c>
      <c r="C36" s="928"/>
      <c r="D36" s="929"/>
      <c r="E36" s="930"/>
      <c r="F36" s="931">
        <v>828</v>
      </c>
      <c r="G36" s="932"/>
      <c r="H36" s="933"/>
    </row>
    <row r="37">
      <c r="A37" s="934" t="s">
        <v>34</v>
      </c>
      <c r="B37" s="935">
        <v>0.1229590379468074</v>
      </c>
      <c r="C37" s="936"/>
      <c r="D37" s="937"/>
      <c r="E37" s="938"/>
      <c r="F37" s="939">
        <v>0.12100178077927</v>
      </c>
      <c r="G37" s="940"/>
      <c r="H37" s="941"/>
    </row>
  </sheetData>
  <mergeCells count="24">
    <mergeCell ref="A5:H5"/>
    <mergeCell ref="B6:D6"/>
    <mergeCell ref="F6:H6"/>
    <mergeCell ref="B7:C7"/>
    <mergeCell ref="F7:G7"/>
    <mergeCell ref="A8:A9"/>
    <mergeCell ref="B8:B9"/>
    <mergeCell ref="C8:C9"/>
    <mergeCell ref="D8:D9"/>
    <mergeCell ref="E8:E9"/>
    <mergeCell ref="F8:F9"/>
    <mergeCell ref="G8:G9"/>
    <mergeCell ref="H8:H9"/>
    <mergeCell ref="B33:D33"/>
    <mergeCell ref="F33:H33"/>
    <mergeCell ref="B34:D34"/>
    <mergeCell ref="F34:H34"/>
    <mergeCell ref="B35:D35"/>
    <mergeCell ref="F35:H35"/>
    <mergeCell ref="B36:D36"/>
    <mergeCell ref="B37:D37"/>
    <mergeCell ref="F36:H36"/>
    <mergeCell ref="F37:H37"/>
    <mergeCell ref="A3:H3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FormatPr defaultRowHeight="15"/>
  <sheetData>
    <row r="1">
      <c r="A1" s="1092"/>
      <c r="B1" s="1093"/>
      <c r="C1" s="1094"/>
      <c r="D1" s="1095"/>
    </row>
    <row r="2">
      <c r="A2" s="1096"/>
      <c r="B2" s="1097"/>
      <c r="C2" s="1098"/>
      <c r="D2" s="1099"/>
    </row>
    <row r="3">
      <c r="A3" s="1100" t="s">
        <v>49</v>
      </c>
      <c r="B3" s="1101"/>
      <c r="C3" s="1102"/>
      <c r="D3" s="1103"/>
    </row>
    <row r="4">
      <c r="A4" s="1104"/>
      <c r="B4" s="1105"/>
      <c r="C4" s="1106"/>
      <c r="D4" s="1107"/>
    </row>
    <row r="5">
      <c r="A5" s="1108" t="s">
        <v>39</v>
      </c>
      <c r="B5" s="1109"/>
      <c r="C5" s="1110"/>
      <c r="D5" s="1111"/>
    </row>
    <row r="6">
      <c r="A6" s="1112" t="s">
        <v>1</v>
      </c>
      <c r="B6" s="1113" t="s">
        <v>42</v>
      </c>
      <c r="C6" s="1114"/>
      <c r="D6" s="1115"/>
    </row>
    <row r="7">
      <c r="A7" s="1116" t="s">
        <v>40</v>
      </c>
      <c r="B7" s="1117" t="s">
        <v>43</v>
      </c>
      <c r="C7" s="1118"/>
      <c r="D7" s="1119"/>
    </row>
    <row r="8">
      <c r="A8" s="1120" t="s">
        <v>41</v>
      </c>
      <c r="B8" s="1121" t="s">
        <v>44</v>
      </c>
      <c r="C8" s="1122"/>
      <c r="D8" s="1123"/>
    </row>
    <row r="9">
      <c r="A9" s="1124"/>
      <c r="B9" s="1125" t="s">
        <v>4</v>
      </c>
      <c r="C9" s="1126"/>
      <c r="D9" s="1127" t="s">
        <v>5</v>
      </c>
    </row>
    <row r="10">
      <c r="A10" s="1128" t="s">
        <v>45</v>
      </c>
      <c r="B10" s="1129">
        <v>0.0105751450383727</v>
      </c>
      <c r="C10" s="1130">
        <f>IF(.5148059100665694&gt;=0.10,"",IF(.5148059100665694&gt;=0.05,"*",IF(.5148059100665694&gt;=0.01,"**",IF(.5148059100665694&gt;=0,"***",""))))</f>
      </c>
      <c r="D10" s="1131">
        <v>0.51480591006656939</v>
      </c>
    </row>
    <row r="11">
      <c r="A11" s="1132"/>
      <c r="B11" s="1133"/>
      <c r="C11" s="1134"/>
      <c r="D11" s="1135"/>
    </row>
    <row r="12">
      <c r="A12" s="1136" t="s">
        <v>46</v>
      </c>
      <c r="B12" s="1137">
        <v>-0.0381798307014828</v>
      </c>
      <c r="C12" s="1138">
        <f>IF(.0982880747642161&gt;=0.10,"",IF(.0982880747642161&gt;=0.05,"*",IF(.0982880747642161&gt;=0.01,"**",IF(.0982880747642161&gt;=0,"***",""))))</f>
      </c>
      <c r="D12" s="1139">
        <v>0.098288074764216096</v>
      </c>
    </row>
    <row r="13">
      <c r="A13" s="1140"/>
      <c r="B13" s="1141"/>
      <c r="C13" s="1142"/>
      <c r="D13" s="1143"/>
    </row>
    <row r="14">
      <c r="A14" s="1144" t="s">
        <v>30</v>
      </c>
      <c r="B14" s="1145" t="s">
        <v>47</v>
      </c>
      <c r="C14" s="1146"/>
      <c r="D14" s="1147"/>
    </row>
    <row r="15">
      <c r="A15" s="1148" t="s">
        <v>31</v>
      </c>
      <c r="B15" s="1149" t="s">
        <v>40</v>
      </c>
      <c r="C15" s="1150"/>
      <c r="D15" s="1151"/>
    </row>
    <row r="16">
      <c r="A16" s="1152" t="s">
        <v>32</v>
      </c>
      <c r="B16" s="1153" t="s">
        <v>48</v>
      </c>
      <c r="C16" s="1154"/>
      <c r="D16" s="1155"/>
    </row>
    <row r="17">
      <c r="A17" s="1156" t="s">
        <v>33</v>
      </c>
      <c r="B17" s="1157">
        <v>1529</v>
      </c>
      <c r="C17" s="1158"/>
      <c r="D17" s="1159"/>
    </row>
    <row r="18">
      <c r="A18" s="1160" t="s">
        <v>34</v>
      </c>
      <c r="B18" s="1161">
        <v>-8.09274941092e-05</v>
      </c>
      <c r="C18" s="1162"/>
      <c r="D18" s="1163"/>
    </row>
  </sheetData>
  <mergeCells count="19">
    <mergeCell ref="A5:D5"/>
    <mergeCell ref="B6:D6"/>
    <mergeCell ref="B7:D7"/>
    <mergeCell ref="B8:D8"/>
    <mergeCell ref="B9:C9"/>
    <mergeCell ref="A10:A11"/>
    <mergeCell ref="B10:B11"/>
    <mergeCell ref="C10:C11"/>
    <mergeCell ref="D10:D11"/>
    <mergeCell ref="A12:A13"/>
    <mergeCell ref="B12:B13"/>
    <mergeCell ref="C12:C13"/>
    <mergeCell ref="D12:D13"/>
    <mergeCell ref="B14:D14"/>
    <mergeCell ref="B15:D15"/>
    <mergeCell ref="B16:D16"/>
    <mergeCell ref="B17:D17"/>
    <mergeCell ref="B18:D18"/>
    <mergeCell ref="A3:D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FormatPr defaultRowHeight="15"/>
  <sheetData>
    <row r="1">
      <c r="A1" s="1314"/>
      <c r="B1" s="1315"/>
      <c r="C1" s="1316"/>
      <c r="D1" s="1317"/>
    </row>
    <row r="2">
      <c r="A2" s="1318"/>
      <c r="B2" s="1319"/>
      <c r="C2" s="1320"/>
      <c r="D2" s="1321"/>
    </row>
    <row r="3">
      <c r="A3" s="1322" t="s">
        <v>54</v>
      </c>
      <c r="B3" s="1323"/>
      <c r="C3" s="1324"/>
      <c r="D3" s="1325"/>
    </row>
    <row r="4">
      <c r="A4" s="1326"/>
      <c r="B4" s="1327"/>
      <c r="C4" s="1328"/>
      <c r="D4" s="1329"/>
    </row>
    <row r="5">
      <c r="A5" s="1330" t="s">
        <v>50</v>
      </c>
      <c r="B5" s="1331"/>
      <c r="C5" s="1332"/>
      <c r="D5" s="1333"/>
    </row>
    <row r="6">
      <c r="A6" s="1334" t="s">
        <v>1</v>
      </c>
      <c r="B6" s="1335" t="s">
        <v>51</v>
      </c>
      <c r="C6" s="1336"/>
      <c r="D6" s="1337"/>
    </row>
    <row r="7">
      <c r="A7" s="1338" t="s">
        <v>40</v>
      </c>
      <c r="B7" s="1339" t="s">
        <v>43</v>
      </c>
      <c r="C7" s="1340"/>
      <c r="D7" s="1341"/>
    </row>
    <row r="8">
      <c r="A8" s="1342" t="s">
        <v>41</v>
      </c>
      <c r="B8" s="1343" t="s">
        <v>44</v>
      </c>
      <c r="C8" s="1344"/>
      <c r="D8" s="1345"/>
    </row>
    <row r="9">
      <c r="A9" s="1346"/>
      <c r="B9" s="1347" t="s">
        <v>4</v>
      </c>
      <c r="C9" s="1348"/>
      <c r="D9" s="1349" t="s">
        <v>5</v>
      </c>
    </row>
    <row r="10">
      <c r="A10" s="1350" t="s">
        <v>45</v>
      </c>
      <c r="B10" s="1351">
        <v>0.0046870449664721996</v>
      </c>
      <c r="C10" s="1352">
        <f>IF(.0651454645742125&gt;=0.10,"",IF(.0651454645742125&gt;=0.05,"*",IF(.0651454645742125&gt;=0.01,"**",IF(.0651454645742125&gt;=0,"***",""))))</f>
      </c>
      <c r="D10" s="1353">
        <v>0.065145464574212497</v>
      </c>
    </row>
    <row r="11">
      <c r="A11" s="1354"/>
      <c r="B11" s="1355"/>
      <c r="C11" s="1356"/>
      <c r="D11" s="1357"/>
    </row>
    <row r="12">
      <c r="A12" s="1358" t="s">
        <v>46</v>
      </c>
      <c r="B12" s="1359">
        <v>-0.0086071183547630995</v>
      </c>
      <c r="C12" s="1360">
        <f>IF(.005016036666405&gt;=0.10,"",IF(.005016036666405&gt;=0.05,"*",IF(.005016036666405&gt;=0.01,"**",IF(.005016036666405&gt;=0,"***",""))))</f>
      </c>
      <c r="D12" s="1361">
        <v>0.0050160366664050004</v>
      </c>
    </row>
    <row r="13">
      <c r="A13" s="1362"/>
      <c r="B13" s="1363"/>
      <c r="C13" s="1364"/>
      <c r="D13" s="1365"/>
    </row>
    <row r="14">
      <c r="A14" s="1366" t="s">
        <v>30</v>
      </c>
      <c r="B14" s="1367" t="s">
        <v>52</v>
      </c>
      <c r="C14" s="1368"/>
      <c r="D14" s="1369"/>
    </row>
    <row r="15">
      <c r="A15" s="1370" t="s">
        <v>31</v>
      </c>
      <c r="B15" s="1371" t="s">
        <v>53</v>
      </c>
      <c r="C15" s="1372"/>
      <c r="D15" s="1373"/>
    </row>
    <row r="16">
      <c r="A16" s="1374" t="s">
        <v>32</v>
      </c>
      <c r="B16" s="1375" t="s">
        <v>37</v>
      </c>
      <c r="C16" s="1376"/>
      <c r="D16" s="1377"/>
    </row>
    <row r="17">
      <c r="A17" s="1378" t="s">
        <v>33</v>
      </c>
      <c r="B17" s="1379">
        <v>1623</v>
      </c>
      <c r="C17" s="1380"/>
      <c r="D17" s="1381"/>
    </row>
    <row r="18">
      <c r="A18" s="1382" t="s">
        <v>34</v>
      </c>
      <c r="B18" s="1383">
        <v>0.34156984594667489</v>
      </c>
      <c r="C18" s="1384"/>
      <c r="D18" s="1385"/>
    </row>
  </sheetData>
  <mergeCells count="19">
    <mergeCell ref="A5:D5"/>
    <mergeCell ref="B6:D6"/>
    <mergeCell ref="B7:D7"/>
    <mergeCell ref="B8:D8"/>
    <mergeCell ref="B9:C9"/>
    <mergeCell ref="A10:A11"/>
    <mergeCell ref="B10:B11"/>
    <mergeCell ref="C10:C11"/>
    <mergeCell ref="D10:D11"/>
    <mergeCell ref="A12:A13"/>
    <mergeCell ref="B12:B13"/>
    <mergeCell ref="C12:C13"/>
    <mergeCell ref="D12:D13"/>
    <mergeCell ref="B14:D14"/>
    <mergeCell ref="B15:D15"/>
    <mergeCell ref="B16:D16"/>
    <mergeCell ref="B17:D17"/>
    <mergeCell ref="B18:D18"/>
    <mergeCell ref="A3:D3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FormatPr defaultRowHeight="15"/>
  <sheetData>
    <row r="1">
      <c r="A1" s="1521"/>
      <c r="B1" s="1522"/>
      <c r="C1" s="1523"/>
      <c r="D1" s="1524"/>
    </row>
    <row r="2">
      <c r="A2" s="1525"/>
      <c r="B2" s="1526"/>
      <c r="C2" s="1527"/>
      <c r="D2" s="1528"/>
    </row>
    <row r="3">
      <c r="A3" s="1529" t="s">
        <v>59</v>
      </c>
      <c r="B3" s="1530"/>
      <c r="C3" s="1531"/>
      <c r="D3" s="1532"/>
    </row>
    <row r="4">
      <c r="A4" s="1533"/>
      <c r="B4" s="1534"/>
      <c r="C4" s="1535"/>
      <c r="D4" s="1536"/>
    </row>
    <row r="5">
      <c r="A5" s="1537" t="s">
        <v>55</v>
      </c>
      <c r="B5" s="1538"/>
      <c r="C5" s="1539"/>
      <c r="D5" s="1540"/>
    </row>
    <row r="6">
      <c r="A6" s="1541" t="s">
        <v>1</v>
      </c>
      <c r="B6" s="1542" t="s">
        <v>9</v>
      </c>
      <c r="C6" s="1543"/>
      <c r="D6" s="1544"/>
    </row>
    <row r="7">
      <c r="A7" s="1545" t="s">
        <v>56</v>
      </c>
      <c r="B7" s="1546" t="s">
        <v>57</v>
      </c>
      <c r="C7" s="1547"/>
      <c r="D7" s="1548"/>
    </row>
    <row r="8">
      <c r="A8" s="1549"/>
      <c r="B8" s="1550" t="s">
        <v>4</v>
      </c>
      <c r="C8" s="1551"/>
      <c r="D8" s="1552" t="s">
        <v>5</v>
      </c>
    </row>
    <row r="9">
      <c r="A9" s="1553" t="s">
        <v>6</v>
      </c>
      <c r="B9" s="1554">
        <v>0.00072108914295640003</v>
      </c>
      <c r="C9" s="1555">
        <f>IF(.948804294273609&gt;=0.10,"",IF(.948804294273609&gt;=0.05,"*",IF(.948804294273609&gt;=0.01,"**",IF(.948804294273609&gt;=0,"***",""))))</f>
      </c>
      <c r="D9" s="1556">
        <v>0.94880429427360902</v>
      </c>
    </row>
    <row r="10">
      <c r="A10" s="1557"/>
      <c r="B10" s="1558"/>
      <c r="C10" s="1559"/>
      <c r="D10" s="1560"/>
    </row>
    <row r="11">
      <c r="A11" s="1561" t="s">
        <v>7</v>
      </c>
      <c r="B11" s="1562">
        <v>-0.035431430945375299</v>
      </c>
      <c r="C11" s="1563">
        <f>IF(.2349501192955206&gt;=0.10,"",IF(.2349501192955206&gt;=0.05,"*",IF(.2349501192955206&gt;=0.01,"**",IF(.2349501192955206&gt;=0,"***",""))))</f>
      </c>
      <c r="D11" s="1564">
        <v>0.23495011929552059</v>
      </c>
    </row>
    <row r="12">
      <c r="A12" s="1565" t="s">
        <v>8</v>
      </c>
      <c r="B12" s="1566">
        <v>-0.0029746642124838002</v>
      </c>
      <c r="C12" s="1567">
        <f>IF(.7913748460943405&gt;=0.10,"",IF(.7913748460943405&gt;=0.05,"*",IF(.7913748460943405&gt;=0.01,"**",IF(.7913748460943405&gt;=0,"***",""))))</f>
      </c>
      <c r="D12" s="1568">
        <v>0.7913748460943405</v>
      </c>
    </row>
    <row r="13">
      <c r="A13" s="1569" t="s">
        <v>58</v>
      </c>
      <c r="B13" s="1570" t="s">
        <v>35</v>
      </c>
      <c r="C13" s="1571"/>
      <c r="D13" s="1572"/>
    </row>
    <row r="14">
      <c r="A14" s="1573" t="s">
        <v>30</v>
      </c>
      <c r="B14" s="1574" t="s">
        <v>35</v>
      </c>
      <c r="C14" s="1575"/>
      <c r="D14" s="1576"/>
    </row>
    <row r="15">
      <c r="A15" s="1577" t="s">
        <v>31</v>
      </c>
      <c r="B15" s="1578" t="s">
        <v>36</v>
      </c>
      <c r="C15" s="1579"/>
      <c r="D15" s="1580"/>
    </row>
    <row r="16">
      <c r="A16" s="1581" t="s">
        <v>32</v>
      </c>
      <c r="B16" s="1582" t="s">
        <v>37</v>
      </c>
      <c r="C16" s="1583"/>
      <c r="D16" s="1584"/>
    </row>
    <row r="17">
      <c r="A17" s="1585" t="s">
        <v>33</v>
      </c>
      <c r="B17" s="1586">
        <v>828</v>
      </c>
      <c r="C17" s="1587"/>
      <c r="D17" s="1588"/>
    </row>
    <row r="18">
      <c r="A18" s="1589" t="s">
        <v>34</v>
      </c>
      <c r="B18" s="1590">
        <v>0.28838204078369362</v>
      </c>
      <c r="C18" s="1591"/>
      <c r="D18" s="1592"/>
    </row>
  </sheetData>
  <mergeCells count="15">
    <mergeCell ref="A5:D5"/>
    <mergeCell ref="B6:D6"/>
    <mergeCell ref="B7:D7"/>
    <mergeCell ref="B8:C8"/>
    <mergeCell ref="A9:A10"/>
    <mergeCell ref="B9:B10"/>
    <mergeCell ref="C9:C10"/>
    <mergeCell ref="D9:D10"/>
    <mergeCell ref="B13:D13"/>
    <mergeCell ref="B14:D14"/>
    <mergeCell ref="B15:D15"/>
    <mergeCell ref="B16:D16"/>
    <mergeCell ref="B17:D17"/>
    <mergeCell ref="B18:D18"/>
    <mergeCell ref="A3:D3"/>
  </mergeCells>
</worksheet>
</file>
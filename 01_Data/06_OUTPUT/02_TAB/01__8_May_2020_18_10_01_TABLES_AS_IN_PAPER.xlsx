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1_A_DescStats" sheetId="1" r:id="rId2"/>
    <sheet name="T1_B_DescStats" sheetId="2" r:id="rId4"/>
    <sheet name="T2_DescAnalysis" sheetId="3" r:id="rId5"/>
    <sheet name="T3_A_RegAnalysis" sheetId="4" r:id="rId6"/>
    <sheet name="T3_B_DiD" sheetId="5" r:id="rId7"/>
    <sheet name="T3_C_AdjSpeed" sheetId="6" r:id="rId8"/>
    <sheet name="T4_AddAnalyses" sheetId="7" r:id="rId9"/>
    <sheet name="T5_Rob_AltExplanations" sheetId="8" r:id="rId10"/>
    <sheet name="T6_Rob_AltTaxKnowledge" sheetId="9" r:id="rId11"/>
    <sheet name="T7_Rob_AltIdentification" sheetId="10" r:id="rId12"/>
  </sheets>
  <calcPr calcId="125725" fullCalcOnLoad="true"/>
</workbook>
</file>

<file path=xl/sharedStrings.xml><?xml version="1.0" encoding="utf-8"?>
<sst xmlns="http://schemas.openxmlformats.org/spreadsheetml/2006/main" count="373" uniqueCount="140">
  <si>
    <t>Panel A Descriptive Statistics [t1]</t>
  </si>
  <si>
    <t>N</t>
  </si>
  <si>
    <t>hightolow</t>
  </si>
  <si>
    <t>'== 1</t>
  </si>
  <si>
    <t>'== 0</t>
  </si>
  <si>
    <t>lowtohigh</t>
  </si>
  <si>
    <t>mean</t>
  </si>
  <si>
    <t>p50</t>
  </si>
  <si>
    <t>cash ETR3</t>
  </si>
  <si>
    <t>delta cash ETR3</t>
  </si>
  <si>
    <t>SameAuditor</t>
  </si>
  <si>
    <t>SameBEARegion</t>
  </si>
  <si>
    <t>Proximity</t>
  </si>
  <si>
    <t>SameInd</t>
  </si>
  <si>
    <t>EBITDA3</t>
  </si>
  <si>
    <t>RnDExp3</t>
  </si>
  <si>
    <t>AdExp3</t>
  </si>
  <si>
    <t>SGA3</t>
  </si>
  <si>
    <t>CapEx3</t>
  </si>
  <si>
    <t>ChangeSale3</t>
  </si>
  <si>
    <t>Leverage3</t>
  </si>
  <si>
    <t>Cash3</t>
  </si>
  <si>
    <t>MNE3</t>
  </si>
  <si>
    <t>NOL3</t>
  </si>
  <si>
    <t>Intangibles3</t>
  </si>
  <si>
    <t>PPE3</t>
  </si>
  <si>
    <t>Size3</t>
  </si>
  <si>
    <t>Table 1 Information on Networks and Firms</t>
  </si>
  <si>
    <t>Table 1 Information on Networks and Firms (continued)</t>
  </si>
  <si>
    <t>Panel B Industry Affiliation of Networks and Firms [two-digit SIC-code]</t>
  </si>
  <si>
    <t>Agriculture, Forestry, &amp; Fishing [01-09]</t>
  </si>
  <si>
    <t>Mining [10-14]</t>
  </si>
  <si>
    <t>Construction [15-17]</t>
  </si>
  <si>
    <t>Manufacturing: Chemical &amp; Allied Products [28]</t>
  </si>
  <si>
    <t>Manufacturing [20-39, except 28]</t>
  </si>
  <si>
    <t>Transportation &amp; Public Utilities [40-49]</t>
  </si>
  <si>
    <t>Wholesale Trade [50-51]</t>
  </si>
  <si>
    <t>Retail Trade [52-59]</t>
  </si>
  <si>
    <t>Finance, Insurance, &amp; Real Estate [60-67]</t>
  </si>
  <si>
    <t>Services: Business Services [73]</t>
  </si>
  <si>
    <t>Services [70-89, except 73]</t>
  </si>
  <si>
    <t>Nonclassifiable Establishments/Other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</si>
  <si>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</si>
  <si>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</si>
  <si>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</si>
  <si>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</si>
  <si>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</si>
  <si>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</si>
  <si>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</si>
  <si>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</si>
  <si>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</si>
  <si>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</si>
  <si>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</si>
  <si>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</si>
  <si>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sumzz</t>
  </si>
  <si>
    <t>Industry of Networks</t>
  </si>
  <si>
    <t>Industry of Firms</t>
  </si>
  <si>
    <t>Change from pre cash ETR3 [t-2; t0] to cash ETR3 [t1; t3]</t>
  </si>
  <si>
    <t>(SD)</t>
  </si>
  <si>
    <t>pre cash ETR3 [t-2; t0]</t>
  </si>
  <si>
    <t>cash ETR3 [t1; t3]</t>
  </si>
  <si>
    <t>Within-Group Change</t>
  </si>
  <si>
    <t>I to II</t>
  </si>
  <si>
    <t>(p-value)</t>
  </si>
  <si>
    <t>Difference in Within-Group Change</t>
  </si>
  <si>
    <t>Table 2 Descriptive Analysis</t>
  </si>
  <si>
    <t>Panel A Regression Analysis</t>
  </si>
  <si>
    <t>Dependent Variable</t>
  </si>
  <si>
    <t>Coefficient</t>
  </si>
  <si>
    <t>Network Controls</t>
  </si>
  <si>
    <t>Yes</t>
  </si>
  <si>
    <t>Firm Controls</t>
  </si>
  <si>
    <t>Fixed Effects</t>
  </si>
  <si>
    <t>SE</t>
  </si>
  <si>
    <t>Adjusted R2</t>
  </si>
  <si>
    <t>Industry &amp; Year</t>
  </si>
  <si>
    <t>Cluster @ Firm</t>
  </si>
  <si>
    <t>Table 3 Regression Analysis</t>
  </si>
  <si>
    <t>Panel B Difference-in-Differences</t>
  </si>
  <si>
    <t>cash ETR</t>
  </si>
  <si>
    <t>treated</t>
  </si>
  <si>
    <t>post</t>
  </si>
  <si>
    <t>treated*post</t>
  </si>
  <si>
    <t>No</t>
  </si>
  <si>
    <t>Yes (Annual Measures)</t>
  </si>
  <si>
    <t>Industry &amp; Embargo Period</t>
  </si>
  <si>
    <t>Industry &amp; Year &amp; Embargo Period</t>
  </si>
  <si>
    <t>Robust</t>
  </si>
  <si>
    <t>Margins of responses for cash ETR [SE]</t>
  </si>
  <si>
    <t>control*post</t>
  </si>
  <si>
    <t>0.3182 [0.02]</t>
  </si>
  <si>
    <t>0.2453 [0.0114]</t>
  </si>
  <si>
    <t>Difference (p-value)</t>
  </si>
  <si>
    <t>0.3207 [0.0243]</t>
  </si>
  <si>
    <t>0.2454 [0.0141]</t>
  </si>
  <si>
    <t>0.3219 [0.0239]</t>
  </si>
  <si>
    <t>0.2388 [0.0144]</t>
  </si>
  <si>
    <t>Table 3 Regression Analysis (continued)</t>
  </si>
  <si>
    <t>Panel C Adjustment Speed</t>
  </si>
  <si>
    <t>(#) of Specification</t>
  </si>
  <si>
    <t>Controls</t>
  </si>
  <si>
    <t>Firm (Annual Measures) &amp; treated</t>
  </si>
  <si>
    <t>(1) treated*post [t1]</t>
  </si>
  <si>
    <t>(2) treated*post [t1; t2]</t>
  </si>
  <si>
    <t>(3) treated*post [t1; t3]</t>
  </si>
  <si>
    <t>(4) treated*post [t1; t4]</t>
  </si>
  <si>
    <t>(5) treated*post [t1; t5]</t>
  </si>
  <si>
    <t>347; 415; 484; 554; 611</t>
  </si>
  <si>
    <t>0.0272; 0.0523; 0.0676; 0.0724; 0.0809</t>
  </si>
  <si>
    <t>Panel A Distance</t>
  </si>
  <si>
    <t>hightolow*SameBEARegion</t>
  </si>
  <si>
    <t>Partner &amp; Network &amp; Firm</t>
  </si>
  <si>
    <t>Panel B Industry</t>
  </si>
  <si>
    <t>hightolow*SameInd</t>
  </si>
  <si>
    <t>Year</t>
  </si>
  <si>
    <t>Panel C Auditor</t>
  </si>
  <si>
    <t>hightolow*SameAuditor</t>
  </si>
  <si>
    <t>Table 4 Additional Analyses</t>
  </si>
  <si>
    <t>Panel A Survivorship Bias</t>
  </si>
  <si>
    <t>Specification</t>
  </si>
  <si>
    <t>exclude nonsurvivors</t>
  </si>
  <si>
    <t>Panel B Increases in cash ETR3</t>
  </si>
  <si>
    <t>if delta cash ETR3 &lt; 1</t>
  </si>
  <si>
    <t>Panel C low-tax firms</t>
  </si>
  <si>
    <t>only low-tax firms</t>
  </si>
  <si>
    <t>Panel D Profitability</t>
  </si>
  <si>
    <t>Profitability3 [t1; t3]</t>
  </si>
  <si>
    <t>Networks Controls</t>
  </si>
  <si>
    <t>Yes (EBITDA3 excluded)</t>
  </si>
  <si>
    <t>Table 5 Robustness Checks: Alternative Explanations</t>
  </si>
  <si>
    <t>Henry/Sansing Cash Tax Differential (CTD) &amp; GAAP ETR</t>
  </si>
  <si>
    <t>CTD</t>
  </si>
  <si>
    <t>GAAP ETR</t>
  </si>
  <si>
    <t>Industry</t>
  </si>
  <si>
    <t>Table 6 Robustness Checks: Alternative Tax Knowledge Measures</t>
  </si>
  <si>
    <t>Interact Indicator with Continuous Variable</t>
  </si>
  <si>
    <t>high-tax firm</t>
  </si>
  <si>
    <t>partner pre cash ETR3 [t-2; t0]</t>
  </si>
  <si>
    <t>high-tax firm * partner pre cash ETR3 [t-2; t0]</t>
  </si>
  <si>
    <t>Table 7 Robustness Checks: Alternative Identification Strategy</t>
  </si>
</sst>
</file>

<file path=xl/styles.xml><?xml version="1.0" encoding="utf-8"?>
<styleSheet xmlns="http://schemas.openxmlformats.org/spreadsheetml/2006/main">
  <numFmts count="4">
    <numFmt numFmtId="166" formatCode="# 0.0000"/>
    <numFmt numFmtId="167" formatCode="# 00.0000"/>
    <numFmt numFmtId="168" formatCode="# (0.0000)"/>
    <numFmt numFmtId="169" formatCode="(0.0000)"/>
  </numFmts>
  <fonts count="8813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b/>
      <name val="Calibri"/>
    </font>
    <font>
      <sz val="11"/>
      <b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Calibri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b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656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bottom style="thin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/>
    <border>
      <bottom style="thin"/>
    </border>
    <border>
      <bottom style="thin"/>
    </border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/>
    <border>
      <bottom style="thin"/>
    </border>
    <border>
      <left style="none"/>
      <right style="none"/>
      <top style="none"/>
      <bottom style="thin"/>
      <diagonal style="none"/>
    </border>
    <border/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bottom style="thin"/>
    </border>
    <border/>
    <border>
      <left style="none"/>
      <right style="none"/>
      <top style="none"/>
      <bottom style="none"/>
      <diagonal style="none"/>
    </border>
    <border/>
    <border>
      <bottom style="thin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bottom style="thin"/>
    </border>
    <border/>
    <border/>
    <border/>
    <border/>
    <border/>
    <border/>
    <border>
      <bottom style="thin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6567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" xfId="0"/>
    <xf numFmtId="0" fontId="0" fillId="0" borderId="3" xfId="0" applyBorder="true"/>
    <xf numFmtId="0" fontId="0" fillId="0" borderId="4" xfId="0" applyBorder="true"/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0" fillId="0" borderId="8" xfId="0" applyBorder="true"/>
    <xf numFmtId="0" fontId="3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" fillId="0" borderId="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" fillId="0" borderId="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" fillId="0" borderId="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" fillId="0" borderId="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5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8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89" fillId="0" borderId="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0" fillId="0" borderId="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1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2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3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4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5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6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7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8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9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0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1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2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3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4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5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6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7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8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09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0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1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2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3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4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5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6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7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8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19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0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1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2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3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4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5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6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7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8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29" fillId="0" borderId="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0" fillId="0" borderId="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1" fillId="0" borderId="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2" fillId="0" borderId="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3" fillId="0" borderId="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4" fillId="0" borderId="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5" fillId="0" borderId="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6" fillId="0" borderId="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7" fillId="0" borderId="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8" fillId="0" borderId="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39" fillId="0" borderId="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0" fillId="0" borderId="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1" fillId="0" borderId="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2" fillId="0" borderId="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3" fillId="0" borderId="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4" fillId="0" borderId="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5" fillId="0" borderId="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6" fillId="0" borderId="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7" fillId="0" borderId="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8" fillId="0" borderId="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49" fillId="0" borderId="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0" fillId="0" borderId="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1" fillId="0" borderId="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2" fillId="0" borderId="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3" fillId="0" borderId="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4" fillId="0" borderId="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5" fillId="0" borderId="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6" fillId="0" borderId="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7" fillId="0" borderId="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8" fillId="0" borderId="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9" fillId="0" borderId="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0" fillId="0" borderId="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1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2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3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4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5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6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7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8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9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0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1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2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3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4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5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6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7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8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79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0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1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2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3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4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5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6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7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8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9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0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1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2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3" fillId="0" borderId="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4" fillId="0" borderId="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5" fillId="0" borderId="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6" fillId="0" borderId="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7" fillId="0" borderId="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8" fillId="0" borderId="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9" fillId="0" borderId="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0" fillId="0" borderId="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1" fillId="0" borderId="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2" fillId="0" borderId="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3" fillId="0" borderId="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4" fillId="0" borderId="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5" fillId="0" borderId="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6" fillId="0" borderId="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7" fillId="0" borderId="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8" fillId="0" borderId="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09" fillId="0" borderId="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0" fillId="0" borderId="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1" fillId="0" borderId="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2" fillId="0" borderId="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3" fillId="0" borderId="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4" fillId="0" borderId="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5" fillId="0" borderId="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6" fillId="0" borderId="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7" fillId="0" borderId="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8" fillId="0" borderId="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9" fillId="0" borderId="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0" fillId="0" borderId="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1" fillId="0" borderId="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2" fillId="0" borderId="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3" fillId="0" borderId="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4" fillId="0" borderId="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5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6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7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8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9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0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1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2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3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4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5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6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7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38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39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40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5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5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7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9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1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3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5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7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9" fillId="0" borderId="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3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" fillId="0" borderId="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1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3" fillId="0" borderId="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1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5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7" fillId="0" borderId="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" fillId="0" borderId="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3" fillId="0" borderId="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5" fillId="0" borderId="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7" fillId="0" borderId="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9" fillId="0" borderId="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1" fillId="0" borderId="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" fillId="0" borderId="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0" borderId="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" fillId="0" borderId="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" fillId="0" borderId="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" fillId="0" borderId="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" fillId="0" borderId="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" fillId="0" borderId="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" fillId="0" borderId="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" fillId="0" borderId="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" fillId="0" borderId="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9" fillId="0" borderId="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1" fillId="0" borderId="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3" fillId="0" borderId="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5" fillId="0" borderId="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" fillId="0" borderId="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" fillId="0" borderId="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" fillId="0" borderId="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5" fillId="0" borderId="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" fillId="0" borderId="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" fillId="0" borderId="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" fillId="0" borderId="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" fillId="0" borderId="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9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1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3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5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7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79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1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3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85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1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3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5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7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99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1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3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0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1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3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5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7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19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1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3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5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7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29" fillId="0" borderId="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1" fillId="0" borderId="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3" fillId="0" borderId="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5" fillId="0" borderId="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7" fillId="0" borderId="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39" fillId="0" borderId="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1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3" fillId="0" borderId="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5" fillId="0" borderId="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7" fillId="0" borderId="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49" fillId="0" borderId="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1" fillId="0" borderId="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3" fillId="0" borderId="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5" fillId="0" borderId="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57" fillId="0" borderId="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9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1" fillId="0" borderId="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3" fillId="0" borderId="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5" fillId="0" borderId="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7" fillId="0" borderId="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9" fillId="0" borderId="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1" fillId="0" borderId="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3" fillId="0" borderId="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5" fillId="0" borderId="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" fillId="0" borderId="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1" fillId="0" borderId="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3" fillId="0" borderId="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5" fillId="0" borderId="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7" fillId="0" borderId="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9" fillId="0" borderId="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1" fillId="0" borderId="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3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99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1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3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5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7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0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1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3" fillId="0" borderId="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7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19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1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3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5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7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2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" fillId="0" borderId="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5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7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39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41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43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45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47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9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1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53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55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57" fillId="0" borderId="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59" fillId="0" borderId="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61" fillId="0" borderId="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63" fillId="0" borderId="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65" fillId="0" borderId="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67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9" fillId="0" borderId="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1" fillId="0" borderId="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3" fillId="0" borderId="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5" fillId="0" borderId="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7" fillId="0" borderId="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79" fillId="0" borderId="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1" fillId="0" borderId="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3" fillId="0" borderId="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" fillId="0" borderId="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9" fillId="0" borderId="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91" fillId="0" borderId="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93" fillId="0" borderId="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95" fillId="0" borderId="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97" fillId="0" borderId="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99" fillId="0" borderId="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01" fillId="0" borderId="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3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5" fillId="0" borderId="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07" fillId="0" borderId="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09" fillId="0" borderId="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11" fillId="0" borderId="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13" fillId="0" borderId="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15" fillId="0" borderId="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17" fillId="0" borderId="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19" fillId="0" borderId="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25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27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29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31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33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35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37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39" fillId="0" borderId="5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1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3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5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7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49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1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3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5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7" fillId="0" borderId="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9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61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63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65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67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69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71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73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5" fillId="0" borderId="6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7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79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1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3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5" fillId="0" borderId="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7" fillId="0" borderId="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89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91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93" fillId="0" borderId="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5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97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99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01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03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05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07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09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10" fillId="0" borderId="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1" fillId="0" borderId="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2" fillId="0" borderId="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3" fillId="0" borderId="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4" fillId="0" borderId="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5" fillId="0" borderId="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6" fillId="0" borderId="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7" fillId="0" borderId="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8" fillId="0" borderId="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19" fillId="0" borderId="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0" fillId="0" borderId="6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1" fillId="0" borderId="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2" fillId="0" borderId="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3" fillId="0" borderId="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4" fillId="0" borderId="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5" fillId="0" borderId="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6" fillId="0" borderId="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7" fillId="0" borderId="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28" fillId="0" borderId="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29" fillId="0" borderId="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0" fillId="0" borderId="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1" fillId="0" borderId="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2" fillId="0" borderId="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3" fillId="0" borderId="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4" fillId="0" borderId="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5" fillId="0" borderId="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6" fillId="0" borderId="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7" fillId="0" borderId="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8" fillId="0" borderId="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39" fillId="0" borderId="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0" fillId="0" borderId="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1" fillId="0" borderId="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2" fillId="0" borderId="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3" fillId="0" borderId="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4" fillId="0" borderId="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5" fillId="0" borderId="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6" fillId="0" borderId="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7" fillId="0" borderId="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8" fillId="0" borderId="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49" fillId="0" borderId="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0" fillId="0" borderId="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1" fillId="0" borderId="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2" fillId="0" borderId="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3" fillId="0" borderId="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4" fillId="0" borderId="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5" fillId="0" borderId="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6" fillId="0" borderId="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7" fillId="0" borderId="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8" fillId="0" borderId="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59" fillId="0" borderId="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0" fillId="0" borderId="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1" fillId="0" borderId="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2" fillId="0" borderId="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3" fillId="0" borderId="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4" fillId="0" borderId="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5" fillId="0" borderId="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6" fillId="0" borderId="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7" fillId="0" borderId="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8" fillId="0" borderId="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69" fillId="0" borderId="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0" fillId="0" borderId="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1" fillId="0" borderId="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2" fillId="0" borderId="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3" fillId="0" borderId="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4" fillId="0" borderId="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5" fillId="0" borderId="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6" fillId="0" borderId="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7" fillId="0" borderId="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8" fillId="0" borderId="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79" fillId="0" borderId="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0" fillId="0" borderId="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1" fillId="0" borderId="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2" fillId="0" borderId="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83" fillId="0" borderId="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4" fillId="0" borderId="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5" fillId="0" borderId="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6" fillId="0" borderId="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7" fillId="0" borderId="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8" fillId="0" borderId="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89" fillId="0" borderId="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0" fillId="0" borderId="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1" fillId="0" borderId="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92" fillId="0" borderId="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3" fillId="0" borderId="7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4" fillId="0" borderId="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5" fillId="0" borderId="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6" fillId="0" borderId="7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7" fillId="0" borderId="7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8" fillId="0" borderId="7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99" fillId="0" borderId="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0" fillId="0" borderId="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01" fillId="0" borderId="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2" fillId="0" borderId="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3" fillId="0" borderId="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4" fillId="0" borderId="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5" fillId="0" borderId="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6" fillId="0" borderId="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7" fillId="0" borderId="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8" fillId="0" borderId="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09" fillId="0" borderId="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10" fillId="0" borderId="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1" fillId="0" borderId="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2" fillId="0" borderId="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3" fillId="0" borderId="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4" fillId="0" borderId="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5" fillId="0" borderId="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6" fillId="0" borderId="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7" fillId="0" borderId="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18" fillId="0" borderId="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19" fillId="0" borderId="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0" fillId="0" borderId="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1" fillId="0" borderId="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2" fillId="0" borderId="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3" fillId="0" borderId="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4" fillId="0" borderId="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5" fillId="0" borderId="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6" fillId="0" borderId="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27" fillId="0" borderId="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28" fillId="0" borderId="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29" fillId="0" borderId="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0" fillId="0" borderId="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1" fillId="0" borderId="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2" fillId="0" borderId="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3" fillId="0" borderId="7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4" fillId="0" borderId="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5" fillId="0" borderId="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6" fillId="0" borderId="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37" fillId="0" borderId="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8" fillId="0" borderId="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39" fillId="0" borderId="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0" fillId="0" borderId="7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1" fillId="0" borderId="7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2" fillId="0" borderId="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3" fillId="0" borderId="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4" fillId="0" borderId="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45" fillId="0" borderId="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46" fillId="0" borderId="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7" fillId="0" borderId="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8" fillId="0" borderId="7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49" fillId="0" borderId="7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0" fillId="0" borderId="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1" fillId="0" borderId="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2" fillId="0" borderId="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3" fillId="0" borderId="7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54" fillId="0" borderId="7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55" fillId="0" borderId="7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6" fillId="0" borderId="7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7" fillId="0" borderId="7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8" fillId="0" borderId="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59" fillId="0" borderId="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0" fillId="0" borderId="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1" fillId="0" borderId="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2" fillId="0" borderId="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63" fillId="0" borderId="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64" fillId="0" borderId="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5" fillId="0" borderId="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6" fillId="0" borderId="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7" fillId="0" borderId="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8" fillId="0" borderId="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69" fillId="0" borderId="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0" fillId="0" borderId="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1" fillId="0" borderId="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72" fillId="0" borderId="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73" fillId="0" borderId="7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4" fillId="0" borderId="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5" fillId="0" borderId="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6" fillId="0" borderId="7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7" fillId="0" borderId="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8" fillId="0" borderId="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79" fillId="0" borderId="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0" fillId="0" borderId="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81" fillId="0" borderId="8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82" fillId="0" borderId="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3" fillId="0" borderId="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4" fillId="0" borderId="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5" fillId="0" borderId="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6" fillId="0" borderId="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7" fillId="0" borderId="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8" fillId="0" borderId="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89" fillId="0" borderId="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0" fillId="0" borderId="8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091" fillId="0" borderId="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2" fillId="0" borderId="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3" fillId="0" borderId="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4" fillId="0" borderId="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5" fillId="0" borderId="8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6" fillId="0" borderId="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7" fillId="0" borderId="8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98" fillId="0" borderId="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99" fillId="0" borderId="8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00" fillId="0" borderId="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1" fillId="0" borderId="8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2" fillId="0" borderId="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3" fillId="0" borderId="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4" fillId="0" borderId="8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5" fillId="0" borderId="8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6" fillId="0" borderId="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07" fillId="0" borderId="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08" fillId="0" borderId="8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09" fillId="0" borderId="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0" fillId="0" borderId="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1" fillId="0" borderId="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2" fillId="0" borderId="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3" fillId="0" borderId="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4" fillId="0" borderId="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5" fillId="0" borderId="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6" fillId="0" borderId="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17" fillId="0" borderId="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18" fillId="0" borderId="8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19" fillId="0" borderId="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0" fillId="0" borderId="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1" fillId="0" borderId="8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2" fillId="0" borderId="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3" fillId="0" borderId="8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4" fillId="0" borderId="8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5" fillId="0" borderId="8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26" fillId="0" borderId="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27" fillId="0" borderId="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8" fillId="0" borderId="8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29" fillId="0" borderId="8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0" fillId="0" borderId="8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1" fillId="0" borderId="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2" fillId="0" borderId="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3" fillId="0" borderId="8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4" fillId="0" borderId="8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35" fillId="0" borderId="8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36" fillId="0" borderId="8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7" fillId="0" borderId="8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8" fillId="0" borderId="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39" fillId="0" borderId="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0" fillId="0" borderId="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1" fillId="0" borderId="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2" fillId="0" borderId="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3" fillId="0" borderId="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44" fillId="0" borderId="8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45" fillId="0" borderId="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6" fillId="0" borderId="8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7" fillId="0" borderId="8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8" fillId="0" borderId="8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49" fillId="0" borderId="8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0" fillId="0" borderId="8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1" fillId="0" borderId="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2" fillId="0" borderId="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3" fillId="0" borderId="8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54" fillId="0" borderId="8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5" fillId="0" borderId="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6" fillId="0" borderId="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7" fillId="0" borderId="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8" fillId="0" borderId="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59" fillId="0" borderId="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0" fillId="0" borderId="8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1" fillId="0" borderId="8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62" fillId="0" borderId="8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63" fillId="0" borderId="8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4" fillId="0" borderId="8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5" fillId="0" borderId="8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6" fillId="0" borderId="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7" fillId="0" borderId="8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8" fillId="0" borderId="8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69" fillId="0" borderId="8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0" fillId="0" borderId="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71" fillId="0" borderId="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72" fillId="0" borderId="8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3" fillId="0" borderId="8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4" fillId="0" borderId="8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5" fillId="0" borderId="8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6" fillId="0" borderId="8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7" fillId="0" borderId="8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8" fillId="0" borderId="9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79" fillId="0" borderId="9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80" fillId="0" borderId="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1181" fillId="0" borderId="9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82" fillId="0" borderId="9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3" fillId="0" borderId="9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4" fillId="0" borderId="9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5" fillId="0" borderId="9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6" fillId="0" borderId="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7" fillId="0" borderId="9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188" fillId="0" borderId="9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90" fillId="0" borderId="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2" fillId="0" borderId="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3" fillId="0" borderId="9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4" fillId="0" borderId="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5" fillId="0" borderId="9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6" fillId="0" borderId="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7" fillId="0" borderId="9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8" fillId="0" borderId="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9" fillId="0" borderId="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0" fillId="0" borderId="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1" fillId="0" borderId="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2" fillId="0" borderId="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3" fillId="0" borderId="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4" fillId="0" borderId="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5" fillId="0" borderId="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6" fillId="0" borderId="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7" fillId="0" borderId="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8" fillId="0" borderId="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9" fillId="0" borderId="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1" fillId="0" borderId="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3" fillId="0" borderId="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4" fillId="0" borderId="932" xfId="0" applyNumberFormat="true" applyFont="true" applyBorder="true" applyAlignment="true" applyProtection="true">
      <alignment horizontal="general" vertical="bottom" textRotation="90" wrapText="false" indent="0" shrinkToFit="false"/>
      <protection locked="true" hidden="false"/>
    </xf>
    <xf numFmtId="0" fontId="1215" fillId="0" borderId="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6" fillId="0" borderId="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7" fillId="0" borderId="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8" fillId="0" borderId="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9" fillId="0" borderId="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0" fillId="0" borderId="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1" fillId="0" borderId="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2" fillId="0" borderId="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3" fillId="0" borderId="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4" fillId="0" borderId="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5" fillId="0" borderId="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6" fillId="0" borderId="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7" fillId="0" borderId="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8" fillId="0" borderId="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9" fillId="0" borderId="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0" fillId="0" borderId="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1" fillId="0" borderId="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2" fillId="0" borderId="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3" fillId="0" borderId="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4" fillId="0" borderId="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5" fillId="0" borderId="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6" fillId="0" borderId="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7" fillId="0" borderId="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8" fillId="0" borderId="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9" fillId="0" borderId="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0" fillId="0" borderId="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1" fillId="0" borderId="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2" fillId="0" borderId="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3" fillId="0" borderId="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4" fillId="0" borderId="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5" fillId="0" borderId="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6" fillId="0" borderId="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7" fillId="0" borderId="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8" fillId="0" borderId="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9" fillId="0" borderId="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0" fillId="0" borderId="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1" fillId="0" borderId="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2" fillId="0" borderId="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3" fillId="0" borderId="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4" fillId="0" borderId="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5" fillId="0" borderId="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6" fillId="0" borderId="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7" fillId="0" borderId="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8" fillId="0" borderId="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9" fillId="0" borderId="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0" fillId="0" borderId="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1" fillId="0" borderId="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2" fillId="0" borderId="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3" fillId="0" borderId="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4" fillId="0" borderId="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5" fillId="0" borderId="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6" fillId="0" borderId="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7" fillId="0" borderId="9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8" fillId="0" borderId="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9" fillId="0" borderId="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0" fillId="0" borderId="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1" fillId="0" borderId="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2" fillId="0" borderId="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3" fillId="0" borderId="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4" fillId="0" borderId="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5" fillId="0" borderId="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6" fillId="0" borderId="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7" fillId="0" borderId="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8" fillId="0" borderId="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9" fillId="0" borderId="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0" fillId="0" borderId="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1" fillId="0" borderId="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2" fillId="0" borderId="1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3" fillId="0" borderId="1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4" fillId="0" borderId="1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5" fillId="0" borderId="1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6" fillId="0" borderId="1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7" fillId="0" borderId="1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8" fillId="0" borderId="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9" fillId="0" borderId="1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0" fillId="0" borderId="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1" fillId="0" borderId="1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2" fillId="0" borderId="1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3" fillId="0" borderId="1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4" fillId="0" borderId="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5" fillId="0" borderId="1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6" fillId="0" borderId="1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7" fillId="0" borderId="1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8" fillId="0" borderId="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9" fillId="0" borderId="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0" fillId="0" borderId="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1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2" fillId="0" borderId="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3" fillId="0" borderId="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4" fillId="0" borderId="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5" fillId="0" borderId="1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6" fillId="0" borderId="1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7" fillId="0" borderId="1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8" fillId="0" borderId="1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9" fillId="0" borderId="1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0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1" fillId="0" borderId="1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2" fillId="0" borderId="1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3" fillId="0" borderId="1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4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5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6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7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8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9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0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1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2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3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4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5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6" fillId="0" borderId="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7" fillId="0" borderId="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8" fillId="0" borderId="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9" fillId="0" borderId="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0" fillId="0" borderId="1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1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2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3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4" fillId="0" borderId="1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5" fillId="0" borderId="1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6" fillId="0" borderId="1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7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8" fillId="0" borderId="1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9" fillId="0" borderId="1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0" fillId="0" borderId="1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1" fillId="0" borderId="1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2" fillId="0" borderId="1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3" fillId="0" borderId="1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4" fillId="0" borderId="1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5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6" fillId="0" borderId="1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7" fillId="0" borderId="1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8" fillId="0" borderId="1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9" fillId="0" borderId="1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0" fillId="0" borderId="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1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2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3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4" fillId="0" borderId="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5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6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7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8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9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0" fillId="0" borderId="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1" fillId="0" borderId="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2" fillId="0" borderId="1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3" fillId="0" borderId="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4" fillId="0" borderId="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5" fillId="0" borderId="1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6" fillId="0" borderId="1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7" fillId="0" borderId="1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8" fillId="0" borderId="1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9" fillId="0" borderId="1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0" fillId="0" borderId="1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1" fillId="0" borderId="1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2" fillId="0" borderId="1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3" fillId="0" borderId="1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4" fillId="0" borderId="1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5" fillId="0" borderId="1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6" fillId="0" borderId="1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7" fillId="0" borderId="1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8" fillId="0" borderId="1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9" fillId="0" borderId="1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0" fillId="0" borderId="1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1" fillId="0" borderId="1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2" fillId="0" borderId="1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3" fillId="0" borderId="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4" fillId="0" borderId="1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5" fillId="0" borderId="1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6" fillId="0" borderId="1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7" fillId="0" borderId="1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8" fillId="0" borderId="1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9" fillId="0" borderId="1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0" fillId="0" borderId="1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1" fillId="0" borderId="1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2" fillId="0" borderId="1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3" fillId="0" borderId="1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4" fillId="0" borderId="1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5" fillId="0" borderId="1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6" fillId="0" borderId="1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7" fillId="0" borderId="1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8" fillId="0" borderId="1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99" fillId="0" borderId="1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0" fillId="0" borderId="1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1" fillId="0" borderId="1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2" fillId="0" borderId="1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3" fillId="0" borderId="1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4" fillId="0" borderId="1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5" fillId="0" borderId="1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6" fillId="0" borderId="1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7" fillId="0" borderId="1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8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9" fillId="0" borderId="1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0" fillId="0" borderId="1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1" fillId="0" borderId="1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2" fillId="0" borderId="1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3" fillId="0" borderId="1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4" fillId="0" borderId="1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5" fillId="0" borderId="1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6" fillId="0" borderId="1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7" fillId="0" borderId="1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8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19" fillId="0" borderId="1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0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1" fillId="0" borderId="1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2" fillId="0" borderId="1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3" fillId="0" borderId="1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4" fillId="0" borderId="1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5" fillId="0" borderId="1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6" fillId="0" borderId="1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7" fillId="0" borderId="1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8" fillId="0" borderId="1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29" fillId="0" borderId="1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0" fillId="0" borderId="1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1" fillId="0" borderId="1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2" fillId="0" borderId="1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3" fillId="0" borderId="1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4" fillId="0" borderId="1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5" fillId="0" borderId="1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6" fillId="0" borderId="1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7" fillId="0" borderId="1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8" fillId="0" borderId="1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39" fillId="0" borderId="1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0" fillId="0" borderId="1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1" fillId="0" borderId="1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2" fillId="0" borderId="1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3" fillId="0" borderId="1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4" fillId="0" borderId="1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5" fillId="0" borderId="1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6" fillId="0" borderId="1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7" fillId="0" borderId="1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8" fillId="0" borderId="1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49" fillId="0" borderId="1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0" fillId="0" borderId="1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1" fillId="0" borderId="1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2" fillId="0" borderId="1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3" fillId="0" borderId="1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4" fillId="0" borderId="1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5" fillId="0" borderId="1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6" fillId="0" borderId="1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7" fillId="0" borderId="1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8" fillId="0" borderId="1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59" fillId="0" borderId="1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0" fillId="0" borderId="1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1" fillId="0" borderId="1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2" fillId="0" borderId="1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3" fillId="0" borderId="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4" fillId="0" borderId="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5" fillId="0" borderId="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6" fillId="0" borderId="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7" fillId="0" borderId="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8" fillId="0" borderId="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69" fillId="0" borderId="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0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2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3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4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5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6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7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8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79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0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1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2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3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4" fillId="0" borderId="1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5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6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7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8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89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0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1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2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3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4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5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6" fillId="0" borderId="1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7" fillId="0" borderId="1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8" fillId="0" borderId="1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99" fillId="0" borderId="1216" xfId="0" applyNumberFormat="true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0" fontId="1500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02" fillId="0" borderId="12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4" fillId="0" borderId="1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6" fillId="0" borderId="1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8" fillId="0" borderId="1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0" fillId="0" borderId="1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2" fillId="0" borderId="1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4" fillId="0" borderId="1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6" fillId="0" borderId="1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18" fillId="0" borderId="1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0" fillId="0" borderId="1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2" fillId="0" borderId="1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4" fillId="0" borderId="1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6" fillId="0" borderId="1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8" fillId="0" borderId="1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0" fillId="0" borderId="1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2" fillId="0" borderId="1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4" fillId="0" borderId="1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6" fillId="0" borderId="1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38" fillId="0" borderId="1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0" fillId="0" borderId="1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2" fillId="0" borderId="1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4" fillId="0" borderId="1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6" fillId="0" borderId="1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8" fillId="0" borderId="1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0" fillId="0" borderId="1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2" fillId="0" borderId="1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4" fillId="0" borderId="1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6" fillId="0" borderId="1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58" fillId="0" borderId="1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0" fillId="0" borderId="1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2" fillId="0" borderId="1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4" fillId="0" borderId="1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6" fillId="0" borderId="1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68" fillId="0" borderId="1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0" fillId="0" borderId="1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2" fillId="0" borderId="1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4" fillId="0" borderId="1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6" fillId="0" borderId="1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78" fillId="0" borderId="1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0" fillId="0" borderId="1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2" fillId="0" borderId="1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4" fillId="0" borderId="1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6" fillId="0" borderId="1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8" fillId="0" borderId="1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0" fillId="0" borderId="1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2" fillId="0" borderId="1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4" fillId="0" borderId="1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6" fillId="0" borderId="1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98" fillId="0" borderId="1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0" fillId="0" borderId="1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2" fillId="0" borderId="1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4" fillId="0" borderId="1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6" fillId="0" borderId="1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8" fillId="0" borderId="1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0" fillId="0" borderId="1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2" fillId="0" borderId="1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4" fillId="0" borderId="1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6" fillId="0" borderId="1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18" fillId="0" borderId="1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0" fillId="0" borderId="1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2" fillId="0" borderId="1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4" fillId="0" borderId="1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6" fillId="0" borderId="1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8" fillId="0" borderId="1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0" fillId="0" borderId="1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2" fillId="0" borderId="1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4" fillId="0" borderId="1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6" fillId="0" borderId="1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38" fillId="0" borderId="1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0" fillId="0" borderId="1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2" fillId="0" borderId="1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4" fillId="0" borderId="1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6" fillId="0" borderId="1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8" fillId="0" borderId="1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0" fillId="0" borderId="1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2" fillId="0" borderId="1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4" fillId="0" borderId="1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6" fillId="0" borderId="1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58" fillId="0" borderId="1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0" fillId="0" borderId="1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2" fillId="0" borderId="1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4" fillId="0" borderId="1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6" fillId="0" borderId="1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8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70" fillId="0" borderId="1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2" fillId="0" borderId="1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4" fillId="0" borderId="1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6" fillId="0" borderId="1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78" fillId="0" borderId="1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0" fillId="0" borderId="1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2" fillId="0" borderId="1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4" fillId="0" borderId="1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6" fillId="0" borderId="1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8" fillId="0" borderId="1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0" fillId="0" borderId="1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2" fillId="0" borderId="1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94" fillId="0" borderId="1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6" fillId="0" borderId="1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98" fillId="0" borderId="1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0" fillId="0" borderId="1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2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4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6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08" fillId="0" borderId="1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0" fillId="0" borderId="1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2" fillId="0" borderId="1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4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6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18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0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2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4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26" fillId="0" borderId="1330" xfId="0" applyNumberFormat="true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0" fontId="1728" fillId="0" borderId="1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30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2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4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6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38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0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2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4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6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48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0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2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4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6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58" fillId="0" borderId="1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0" fillId="0" borderId="1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2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4" fillId="0" borderId="1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6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68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0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2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4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6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78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0" fillId="0" borderId="1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2" fillId="0" borderId="1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4" fillId="0" borderId="1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6" fillId="0" borderId="1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88" fillId="0" borderId="1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0" fillId="0" borderId="1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2" fillId="0" borderId="1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94" fillId="0" borderId="1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6" fillId="0" borderId="1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798" fillId="0" borderId="1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0" fillId="0" borderId="1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2" fillId="0" borderId="1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4" fillId="0" borderId="1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6" fillId="0" borderId="1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08" fillId="0" borderId="1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0" fillId="0" borderId="1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2" fillId="0" borderId="1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4" fillId="0" borderId="1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6" fillId="0" borderId="1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18" fillId="0" borderId="1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0" fillId="0" borderId="1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2" fillId="0" borderId="1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4" fillId="0" borderId="1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6" fillId="0" borderId="1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28" fillId="0" borderId="1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0" fillId="0" borderId="1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2" fillId="0" borderId="1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4" fillId="0" borderId="1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6" fillId="0" borderId="1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38" fillId="0" borderId="1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0" fillId="0" borderId="1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2" fillId="0" borderId="1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4" fillId="0" borderId="1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6" fillId="0" borderId="1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48" fillId="0" borderId="1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0" fillId="0" borderId="1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2" fillId="0" borderId="1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54" fillId="0" borderId="1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6" fillId="0" borderId="1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58" fillId="0" borderId="1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0" fillId="0" borderId="1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2" fillId="0" borderId="1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4" fillId="0" borderId="1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6" fillId="0" borderId="1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68" fillId="0" borderId="1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0" fillId="0" borderId="1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2" fillId="0" borderId="1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4" fillId="0" borderId="1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6" fillId="0" borderId="1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78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0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2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4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86" fillId="0" borderId="1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8" fillId="0" borderId="1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90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2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4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6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98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0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2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4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6" fillId="0" borderId="1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08" fillId="0" borderId="1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0" fillId="0" borderId="1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2" fillId="0" borderId="1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4" fillId="0" borderId="1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6" fillId="0" borderId="1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18" fillId="0" borderId="1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0" fillId="0" borderId="1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2" fillId="0" borderId="1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4" fillId="0" borderId="1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6" fillId="0" borderId="1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28" fillId="0" borderId="1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0" fillId="0" borderId="1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2" fillId="0" borderId="1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4" fillId="0" borderId="1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6" fillId="0" borderId="1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38" fillId="0" borderId="1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0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2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4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6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48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0" fillId="0" borderId="1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2" fillId="0" borderId="1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54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6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58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0" fillId="0" borderId="1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2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4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6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68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0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2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4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6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78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0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2" fillId="0" borderId="1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4" fillId="0" borderId="1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6" fillId="0" borderId="1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88" fillId="0" borderId="1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0" fillId="0" borderId="1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2" fillId="0" borderId="1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4" fillId="0" borderId="1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6" fillId="0" borderId="1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98" fillId="0" borderId="1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0" fillId="0" borderId="1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2" fillId="0" borderId="1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4" fillId="0" borderId="1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6" fillId="0" borderId="1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08" fillId="0" borderId="1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0" fillId="0" borderId="1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2" fillId="0" borderId="1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14" fillId="0" borderId="1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6" fillId="0" borderId="1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18" fillId="0" borderId="1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0" fillId="0" borderId="1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2" fillId="0" borderId="1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4" fillId="0" borderId="1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6" fillId="0" borderId="1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28" fillId="0" borderId="1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0" fillId="0" borderId="1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2" fillId="0" borderId="1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4" fillId="0" borderId="1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6" fillId="0" borderId="1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38" fillId="0" borderId="1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0" fillId="0" borderId="1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2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4" fillId="0" borderId="1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46" fillId="0" borderId="1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8" fillId="0" borderId="1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50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2" fillId="0" borderId="1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4" fillId="0" borderId="1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6" fillId="0" borderId="1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58" fillId="0" borderId="1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0" fillId="0" borderId="1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2" fillId="0" borderId="1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4" fillId="0" borderId="1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6" fillId="0" borderId="1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68" fillId="0" borderId="1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0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2" fillId="0" borderId="1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4" fillId="0" borderId="1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6" fillId="0" borderId="1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78" fillId="0" borderId="1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0" fillId="0" borderId="1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2" fillId="0" borderId="1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4" fillId="0" borderId="1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6" fillId="0" borderId="1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88" fillId="0" borderId="1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0" fillId="0" borderId="1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2" fillId="0" borderId="1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4" fillId="0" borderId="1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6" fillId="0" borderId="1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98" fillId="0" borderId="1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0" fillId="0" borderId="1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2" fillId="0" borderId="1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4" fillId="0" borderId="1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6" fillId="0" borderId="1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08" fillId="0" borderId="1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0" fillId="0" borderId="1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2" fillId="0" borderId="1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4" fillId="0" borderId="1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16" fillId="0" borderId="1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18" fillId="0" borderId="1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0" fillId="0" borderId="1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2" fillId="0" borderId="1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4" fillId="0" borderId="1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6" fillId="0" borderId="1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28" fillId="0" borderId="1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0" fillId="0" borderId="1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2" fillId="0" borderId="1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4" fillId="0" borderId="1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6" fillId="0" borderId="1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38" fillId="0" borderId="1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0" fillId="0" borderId="1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142" fillId="0" borderId="1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4" fillId="0" borderId="15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6" fillId="0" borderId="1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8" fillId="0" borderId="15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0" fillId="0" borderId="15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2" fillId="0" borderId="15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4" fillId="0" borderId="15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6" fillId="0" borderId="1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58" fillId="0" borderId="1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0" fillId="0" borderId="1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2" fillId="0" borderId="1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4" fillId="0" borderId="1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6" fillId="0" borderId="1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8" fillId="0" borderId="1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0" fillId="0" borderId="1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2" fillId="0" borderId="1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4" fillId="0" borderId="1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6" fillId="0" borderId="1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8" fillId="0" borderId="1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0" fillId="0" borderId="1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2" fillId="0" borderId="1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4" fillId="0" borderId="1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6" fillId="0" borderId="1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8" fillId="0" borderId="1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0" fillId="0" borderId="1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2" fillId="0" borderId="1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4" fillId="0" borderId="1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6" fillId="0" borderId="1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98" fillId="0" borderId="1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0" fillId="0" borderId="1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2" fillId="0" borderId="1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4" fillId="0" borderId="1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5" fillId="0" borderId="15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06" fillId="0" borderId="1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07" fillId="0" borderId="15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08" fillId="0" borderId="15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09" fillId="0" borderId="15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0" fillId="0" borderId="1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1" fillId="0" borderId="15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2" fillId="0" borderId="1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3" fillId="0" borderId="15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4" fillId="0" borderId="1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5" fillId="0" borderId="1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6" fillId="0" borderId="1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7" fillId="0" borderId="15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8" fillId="0" borderId="1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19" fillId="0" borderId="15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0" fillId="0" borderId="1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1" fillId="0" borderId="15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2" fillId="0" borderId="1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3" fillId="0" borderId="15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4" fillId="0" borderId="1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5" fillId="0" borderId="15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6" fillId="0" borderId="1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7" fillId="0" borderId="15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8" fillId="0" borderId="1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29" fillId="0" borderId="15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0" fillId="0" borderId="1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1" fillId="0" borderId="15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2" fillId="0" borderId="15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3" fillId="0" borderId="15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4" fillId="0" borderId="15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5" fillId="0" borderId="16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6" fillId="0" borderId="1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7" fillId="0" borderId="1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38" fillId="0" borderId="1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39" fillId="0" borderId="16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0" fillId="0" borderId="1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1" fillId="0" borderId="16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2" fillId="0" borderId="1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3" fillId="0" borderId="16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4" fillId="0" borderId="1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5" fillId="0" borderId="16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6" fillId="0" borderId="1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7" fillId="0" borderId="16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8" fillId="0" borderId="1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49" fillId="0" borderId="16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0" fillId="0" borderId="1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1" fillId="0" borderId="16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2" fillId="0" borderId="1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3" fillId="0" borderId="1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4" fillId="0" borderId="1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5" fillId="0" borderId="1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6" fillId="0" borderId="1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7" fillId="0" borderId="1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8" fillId="0" borderId="1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59" fillId="0" borderId="1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0" fillId="0" borderId="1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1" fillId="0" borderId="16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2" fillId="0" borderId="1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3" fillId="0" borderId="1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4" fillId="0" borderId="1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5" fillId="0" borderId="1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6" fillId="0" borderId="1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7" fillId="0" borderId="16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8" fillId="0" borderId="1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69" fillId="0" borderId="1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0" fillId="0" borderId="1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1" fillId="0" borderId="1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2" fillId="0" borderId="1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3" fillId="0" borderId="1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4" fillId="0" borderId="1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5" fillId="0" borderId="1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6" fillId="0" borderId="1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7" fillId="0" borderId="16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8" fillId="0" borderId="1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79" fillId="0" borderId="1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0" fillId="0" borderId="1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1" fillId="0" borderId="1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2" fillId="0" borderId="1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3" fillId="0" borderId="1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4" fillId="0" borderId="1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5" fillId="0" borderId="1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6" fillId="0" borderId="1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7" fillId="0" borderId="1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88" fillId="0" borderId="16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289" fillId="0" borderId="1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0" fillId="0" borderId="1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1" fillId="0" borderId="1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2" fillId="0" borderId="1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3" fillId="0" borderId="1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4" fillId="0" borderId="1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5" fillId="0" borderId="1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6" fillId="0" borderId="1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7" fillId="0" borderId="1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8" fillId="0" borderId="1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299" fillId="0" borderId="1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0" fillId="0" borderId="16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1" fillId="0" borderId="1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2" fillId="0" borderId="1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03" fillId="0" borderId="16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4" fillId="0" borderId="16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5" fillId="0" borderId="16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6" fillId="0" borderId="16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7" fillId="0" borderId="1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8" fillId="0" borderId="16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09" fillId="0" borderId="16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0" fillId="0" borderId="1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1" fillId="0" borderId="16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2" fillId="0" borderId="16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3" fillId="0" borderId="16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4" fillId="0" borderId="1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5" fillId="0" borderId="1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6" fillId="0" borderId="1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17" fillId="0" borderId="1682" xfId="0" applyNumberFormat="true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0" fontId="2318" fillId="0" borderId="1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19" fillId="0" borderId="1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0" fillId="0" borderId="1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1" fillId="0" borderId="1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2" fillId="0" borderId="1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3" fillId="0" borderId="1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4" fillId="0" borderId="1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5" fillId="0" borderId="16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6" fillId="0" borderId="16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7" fillId="0" borderId="1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8" fillId="0" borderId="1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29" fillId="0" borderId="16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0" fillId="0" borderId="16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1" fillId="0" borderId="1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2" fillId="0" borderId="1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3" fillId="0" borderId="1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34" fillId="0" borderId="1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35" fillId="0" borderId="1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6" fillId="0" borderId="1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7" fillId="0" borderId="1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8" fillId="0" borderId="1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39" fillId="0" borderId="1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0" fillId="0" borderId="1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1" fillId="0" borderId="1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2" fillId="0" borderId="1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3" fillId="0" borderId="1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4" fillId="0" borderId="1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5" fillId="0" borderId="1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6" fillId="0" borderId="17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7" fillId="0" borderId="1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8" fillId="0" borderId="1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49" fillId="0" borderId="1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0" fillId="0" borderId="1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51" fillId="0" borderId="1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2" fillId="0" borderId="1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3" fillId="0" borderId="17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4" fillId="0" borderId="17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5" fillId="0" borderId="17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6" fillId="0" borderId="1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7" fillId="0" borderId="1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8" fillId="0" borderId="1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59" fillId="0" borderId="1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0" fillId="0" borderId="1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1" fillId="0" borderId="1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2" fillId="0" borderId="1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3" fillId="0" borderId="1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4" fillId="0" borderId="1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5" fillId="0" borderId="1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6" fillId="0" borderId="1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67" fillId="0" borderId="1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8" fillId="0" borderId="1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69" fillId="0" borderId="1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0" fillId="0" borderId="1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1" fillId="0" borderId="1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2" fillId="0" borderId="1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3" fillId="0" borderId="1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4" fillId="0" borderId="1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5" fillId="0" borderId="1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6" fillId="0" borderId="1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7" fillId="0" borderId="1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8" fillId="0" borderId="1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79" fillId="0" borderId="1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0" fillId="0" borderId="1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1" fillId="0" borderId="1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82" fillId="0" borderId="1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83" fillId="0" borderId="1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4" fillId="0" borderId="1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5" fillId="0" borderId="1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6" fillId="0" borderId="1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7" fillId="0" borderId="1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8" fillId="0" borderId="1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89" fillId="0" borderId="1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0" fillId="0" borderId="17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1" fillId="0" borderId="1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2" fillId="0" borderId="1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3" fillId="0" borderId="1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4" fillId="0" borderId="1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5" fillId="0" borderId="1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6" fillId="0" borderId="1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397" fillId="0" borderId="1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8" fillId="0" borderId="1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399" fillId="0" borderId="1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0" fillId="0" borderId="17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1" fillId="0" borderId="1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2" fillId="0" borderId="1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3" fillId="0" borderId="1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4" fillId="0" borderId="17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5" fillId="0" borderId="17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6" fillId="0" borderId="17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7" fillId="0" borderId="1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8" fillId="0" borderId="17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09" fillId="0" borderId="17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0" fillId="0" borderId="17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1" fillId="0" borderId="17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2" fillId="0" borderId="17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3" fillId="0" borderId="1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14" fillId="0" borderId="1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15" fillId="0" borderId="1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6" fillId="0" borderId="17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7" fillId="0" borderId="1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8" fillId="0" borderId="17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19" fillId="0" borderId="1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0" fillId="0" borderId="17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1" fillId="0" borderId="1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2" fillId="0" borderId="17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3" fillId="0" borderId="1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4" fillId="0" borderId="17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5" fillId="0" borderId="17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6" fillId="0" borderId="17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7" fillId="0" borderId="1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8" fillId="0" borderId="17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29" fillId="0" borderId="1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30" fillId="0" borderId="1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31" fillId="0" borderId="1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2" fillId="0" borderId="17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3" fillId="0" borderId="17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4" fillId="0" borderId="17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5" fillId="0" borderId="1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6" fillId="0" borderId="18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7" fillId="0" borderId="1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8" fillId="0" borderId="1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39" fillId="0" borderId="1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0" fillId="0" borderId="18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1" fillId="0" borderId="1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2" fillId="0" borderId="1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3" fillId="0" borderId="1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4" fillId="0" borderId="18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5" fillId="0" borderId="1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46" fillId="0" borderId="18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47" fillId="0" borderId="1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8" fillId="0" borderId="18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49" fillId="0" borderId="1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0" fillId="0" borderId="1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1" fillId="0" borderId="1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2" fillId="0" borderId="18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3" fillId="0" borderId="1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4" fillId="0" borderId="18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5" fillId="0" borderId="1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6" fillId="0" borderId="18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7" fillId="0" borderId="1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8" fillId="0" borderId="18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59" fillId="0" borderId="1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0" fillId="0" borderId="18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1" fillId="0" borderId="1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62" fillId="0" borderId="18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63" fillId="0" borderId="1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4" fillId="0" borderId="18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5" fillId="0" borderId="1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6" fillId="0" borderId="18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7" fillId="0" borderId="1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8" fillId="0" borderId="18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69" fillId="0" borderId="1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0" fillId="0" borderId="18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1" fillId="0" borderId="18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2" fillId="0" borderId="18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3" fillId="0" borderId="1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4" fillId="0" borderId="18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5" fillId="0" borderId="18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6" fillId="0" borderId="18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77" fillId="0" borderId="18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78" fillId="0" borderId="18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79" fillId="0" borderId="18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0" fillId="0" borderId="18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1" fillId="0" borderId="18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2" fillId="0" borderId="18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3" fillId="0" borderId="18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4" fillId="0" borderId="18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5" fillId="0" borderId="18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6" fillId="0" borderId="18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7" fillId="0" borderId="18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8" fillId="0" borderId="18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89" fillId="0" borderId="1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0" fillId="0" borderId="18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1" fillId="0" borderId="18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2" fillId="0" borderId="18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3" fillId="0" borderId="18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94" fillId="0" borderId="18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495" fillId="0" borderId="18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6" fillId="0" borderId="18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7" fillId="0" borderId="18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8" fillId="0" borderId="18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499" fillId="0" borderId="18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0" fillId="0" borderId="18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1" fillId="0" borderId="18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2" fillId="0" borderId="18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3" fillId="0" borderId="18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4" fillId="0" borderId="18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5" fillId="0" borderId="18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6" fillId="0" borderId="18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7" fillId="0" borderId="18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8" fillId="0" borderId="18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09" fillId="0" borderId="18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10" fillId="0" borderId="18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11" fillId="0" borderId="1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12" fillId="0" borderId="18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3" fillId="0" borderId="18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4" fillId="0" borderId="18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5" fillId="0" borderId="18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6" fillId="0" borderId="18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7" fillId="0" borderId="18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8" fillId="0" borderId="18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19" fillId="0" borderId="18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0" fillId="0" borderId="18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1" fillId="0" borderId="18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2" fillId="0" borderId="18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3" fillId="0" borderId="1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4" fillId="0" borderId="18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525" fillId="0" borderId="1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26" fillId="0" borderId="18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27" fillId="0" borderId="18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28" fillId="0" borderId="1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29" fillId="0" borderId="1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0" fillId="0" borderId="18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1" fillId="0" borderId="18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2" fillId="0" borderId="18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3" fillId="0" borderId="18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4" fillId="0" borderId="18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5" fillId="0" borderId="19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6" fillId="0" borderId="1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7" fillId="0" borderId="1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8" fillId="0" borderId="1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39" fillId="0" borderId="19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0" fillId="0" borderId="1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1" fillId="0" borderId="1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2" fillId="0" borderId="1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3" fillId="0" borderId="19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4" fillId="0" borderId="1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5" fillId="0" borderId="1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6" fillId="0" borderId="19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7" fillId="0" borderId="19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8" fillId="0" borderId="19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49" fillId="0" borderId="19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0" fillId="0" borderId="19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1" fillId="0" borderId="19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2" fillId="0" borderId="19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3" fillId="0" borderId="19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4" fillId="0" borderId="1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5" fillId="0" borderId="19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556" fillId="0" borderId="19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1922" xfId="0"/>
    <xf numFmtId="0" fontId="0" fillId="0" borderId="1923" xfId="0" applyBorder="true"/>
    <xf numFmtId="0" fontId="0" fillId="0" borderId="1924" xfId="0" applyBorder="true"/>
    <xf numFmtId="0" fontId="2557" fillId="0" borderId="1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8" fillId="0" borderId="1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9" fillId="0" borderId="1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0" fillId="0" borderId="19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1" fillId="0" borderId="19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2" fillId="0" borderId="1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3" fillId="0" borderId="1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4" fillId="0" borderId="1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5" fillId="0" borderId="1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6" fillId="0" borderId="1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7" fillId="0" borderId="1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8" fillId="0" borderId="1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9" fillId="0" borderId="1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38" xfId="0"/>
    <xf numFmtId="0" fontId="2570" fillId="0" borderId="1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1" fillId="0" borderId="19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41" xfId="0"/>
    <xf numFmtId="0" fontId="2572" fillId="0" borderId="1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43" xfId="0"/>
    <xf numFmtId="0" fontId="0" fillId="0" borderId="1944" xfId="0"/>
    <xf numFmtId="0" fontId="2573" fillId="0" borderId="1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46" xfId="0"/>
    <xf numFmtId="0" fontId="2574" fillId="0" borderId="1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5" fillId="0" borderId="1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6" fillId="0" borderId="1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7" fillId="0" borderId="1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8" fillId="0" borderId="1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9" fillId="0" borderId="1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0" fillId="0" borderId="19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1" fillId="0" borderId="1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2" fillId="0" borderId="1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3" fillId="0" borderId="1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4" fillId="0" borderId="1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5" fillId="0" borderId="1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6" fillId="0" borderId="1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7" fillId="0" borderId="1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8" fillId="0" borderId="1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9" fillId="0" borderId="1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0" fillId="0" borderId="1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1" fillId="0" borderId="1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2" fillId="0" borderId="1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93" fillId="0" borderId="1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4" fillId="0" borderId="1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5" fillId="0" borderId="1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596" fillId="0" borderId="1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597" fillId="0" borderId="1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98" fillId="0" borderId="1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599" fillId="0" borderId="1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00" fillId="0" borderId="1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01" fillId="0" borderId="1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2" fillId="0" borderId="1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03" fillId="0" borderId="1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04" fillId="0" borderId="1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05" fillId="0" borderId="1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06" fillId="0" borderId="1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07" fillId="0" borderId="1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08" fillId="0" borderId="1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09" fillId="0" borderId="1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0" fillId="0" borderId="19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1" fillId="0" borderId="1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12" fillId="0" borderId="19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13" fillId="0" borderId="198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14" fillId="0" borderId="19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615" fillId="0" borderId="1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6" fillId="0" borderId="1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7" fillId="0" borderId="1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18" fillId="0" borderId="1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19" fillId="0" borderId="1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620" fillId="0" borderId="1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621" fillId="0" borderId="1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22" fillId="0" borderId="19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23" fillId="0" borderId="199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2624" fillId="0" borderId="1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25" fillId="0" borderId="1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6" fillId="0" borderId="1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7" fillId="0" borderId="2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8" fillId="0" borderId="2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9" fillId="0" borderId="2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0" fillId="0" borderId="2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1" fillId="0" borderId="2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2" fillId="0" borderId="2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3" fillId="0" borderId="2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4" fillId="0" borderId="2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5" fillId="0" borderId="2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6" fillId="0" borderId="2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8" fillId="0" borderId="2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0" fillId="0" borderId="2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2" fillId="0" borderId="20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644" fillId="0" borderId="2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2646" fillId="0" borderId="2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7" fillId="0" borderId="2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9" fillId="0" borderId="2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1" fillId="0" borderId="2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3" fillId="0" borderId="2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5" fillId="0" borderId="2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7" fillId="0" borderId="20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59" fillId="0" borderId="2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1" fillId="0" borderId="2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3" fillId="0" borderId="2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5" fillId="0" borderId="2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7" fillId="0" borderId="2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9" fillId="0" borderId="2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1" fillId="0" borderId="2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3" fillId="0" borderId="2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5" fillId="0" borderId="2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7" fillId="0" borderId="2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79" fillId="0" borderId="2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1" fillId="0" borderId="2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3" fillId="0" borderId="2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5" fillId="0" borderId="2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7" fillId="0" borderId="2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9" fillId="0" borderId="2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1" fillId="0" borderId="2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3" fillId="0" borderId="2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5" fillId="0" borderId="2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7" fillId="0" borderId="2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99" fillId="0" borderId="2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1" fillId="0" borderId="2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3" fillId="0" borderId="2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5" fillId="0" borderId="2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7" fillId="0" borderId="2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9" fillId="0" borderId="2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1" fillId="0" borderId="2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3" fillId="0" borderId="2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5" fillId="0" borderId="2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7" fillId="0" borderId="2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19" fillId="0" borderId="2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1" fillId="0" borderId="2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3" fillId="0" borderId="2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5" fillId="0" borderId="2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7" fillId="0" borderId="2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9" fillId="0" borderId="2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1" fillId="0" borderId="2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3" fillId="0" borderId="2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5" fillId="0" borderId="2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7" fillId="0" borderId="2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9" fillId="0" borderId="2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1" fillId="0" borderId="2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3" fillId="0" borderId="2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5" fillId="0" borderId="2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7" fillId="0" borderId="2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49" fillId="0" borderId="2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1" fillId="0" borderId="2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3" fillId="0" borderId="2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5" fillId="0" borderId="2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7" fillId="0" borderId="2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59" fillId="0" borderId="2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1" fillId="0" borderId="2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3" fillId="0" borderId="2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5" fillId="0" borderId="2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7" fillId="0" borderId="2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9" fillId="0" borderId="2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1" fillId="0" borderId="2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3" fillId="0" borderId="2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5" fillId="0" borderId="2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7" fillId="0" borderId="2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9" fillId="0" borderId="2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1" fillId="0" borderId="2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3" fillId="0" borderId="2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5" fillId="0" borderId="2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7" fillId="0" borderId="2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9" fillId="0" borderId="2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1" fillId="0" borderId="2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3" fillId="0" borderId="2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95" fillId="0" borderId="2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7" fillId="0" borderId="2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9" fillId="0" borderId="2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1" fillId="0" borderId="2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3" fillId="0" borderId="2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5" fillId="0" borderId="2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7" fillId="0" borderId="20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9" fillId="0" borderId="2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1" fillId="0" borderId="2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13" fillId="0" borderId="2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5" fillId="0" borderId="2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7" fillId="0" borderId="2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9" fillId="0" borderId="2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1" fillId="0" borderId="2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3" fillId="0" borderId="2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5" fillId="0" borderId="2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7" fillId="0" borderId="2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29" fillId="0" borderId="2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31" fillId="0" borderId="2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3" fillId="0" borderId="2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5" fillId="0" borderId="2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7" fillId="0" borderId="2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9" fillId="0" borderId="2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41" fillId="0" borderId="2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3" fillId="0" borderId="2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5" fillId="0" borderId="2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7" fillId="0" borderId="2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49" fillId="0" borderId="2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51" fillId="0" borderId="2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53" fillId="0" borderId="2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55" fillId="0" borderId="2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57" fillId="0" borderId="2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9" fillId="0" borderId="2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1" fillId="0" borderId="2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3" fillId="0" borderId="2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5" fillId="0" borderId="2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7" fillId="0" borderId="2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69" fillId="0" borderId="2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71" fillId="0" borderId="2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873" fillId="0" borderId="2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875" fillId="0" borderId="2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77" fillId="0" borderId="2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9" fillId="0" borderId="2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1" fillId="0" borderId="2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3" fillId="0" borderId="2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5" fillId="0" borderId="2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7" fillId="0" borderId="2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89" fillId="0" borderId="2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1" fillId="0" borderId="2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3" fillId="0" borderId="2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5" fillId="0" borderId="2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7" fillId="0" borderId="2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99" fillId="0" borderId="2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1" fillId="0" borderId="2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03" fillId="0" borderId="2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05" fillId="0" borderId="2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07" fillId="0" borderId="21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09" fillId="0" borderId="2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11" fillId="0" borderId="21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13" fillId="0" borderId="2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5" fillId="0" borderId="2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7" fillId="0" borderId="2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19" fillId="0" borderId="2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1" fillId="0" borderId="2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23" fillId="0" borderId="2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25" fillId="0" borderId="2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27" fillId="0" borderId="2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9" fillId="0" borderId="2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1" fillId="0" borderId="2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3" fillId="0" borderId="2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5" fillId="0" borderId="2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7" fillId="0" borderId="2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39" fillId="0" borderId="2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1" fillId="0" borderId="2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3" fillId="0" borderId="2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5" fillId="0" borderId="2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7" fillId="0" borderId="2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9" fillId="0" borderId="2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1" fillId="0" borderId="2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3" fillId="0" borderId="2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5" fillId="0" borderId="2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7" fillId="0" borderId="2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2959" fillId="0" borderId="2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961" fillId="0" borderId="2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3" fillId="0" borderId="21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65" fillId="0" borderId="2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7" fillId="0" borderId="2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9" fillId="0" borderId="2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1" fillId="0" borderId="2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3" fillId="0" borderId="2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5" fillId="0" borderId="2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2977" fillId="0" borderId="2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9" fillId="0" borderId="2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1" fillId="0" borderId="2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3" fillId="0" borderId="2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5" fillId="0" borderId="2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7" fillId="0" borderId="2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89" fillId="0" borderId="2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0" fillId="0" borderId="21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1" fillId="0" borderId="21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2" fillId="0" borderId="21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3" fillId="0" borderId="21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4" fillId="0" borderId="21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5" fillId="0" borderId="21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6" fillId="0" borderId="2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7" fillId="0" borderId="21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8" fillId="0" borderId="21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999" fillId="0" borderId="21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0" fillId="0" borderId="21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1" fillId="0" borderId="21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2" fillId="0" borderId="21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3" fillId="0" borderId="22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4" fillId="0" borderId="2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5" fillId="0" borderId="22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6" fillId="0" borderId="22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7" fillId="0" borderId="2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08" fillId="0" borderId="22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09" fillId="0" borderId="2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0" fillId="0" borderId="2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1" fillId="0" borderId="22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2" fillId="0" borderId="2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3" fillId="0" borderId="2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4" fillId="0" borderId="2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5" fillId="0" borderId="2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6" fillId="0" borderId="2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7" fillId="0" borderId="22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8" fillId="0" borderId="2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19" fillId="0" borderId="22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0" fillId="0" borderId="2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1" fillId="0" borderId="22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2" fillId="0" borderId="2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3" fillId="0" borderId="22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4" fillId="0" borderId="22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5" fillId="0" borderId="22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6" fillId="0" borderId="2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7" fillId="0" borderId="22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8" fillId="0" borderId="2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29" fillId="0" borderId="22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0" fillId="0" borderId="22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1" fillId="0" borderId="22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2" fillId="0" borderId="22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3" fillId="0" borderId="22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4" fillId="0" borderId="2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5" fillId="0" borderId="22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6" fillId="0" borderId="22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7" fillId="0" borderId="22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8" fillId="0" borderId="22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39" fillId="0" borderId="22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0" fillId="0" borderId="2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1" fillId="0" borderId="22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2" fillId="0" borderId="22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3" fillId="0" borderId="22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4" fillId="0" borderId="2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5" fillId="0" borderId="22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6" fillId="0" borderId="2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7" fillId="0" borderId="22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8" fillId="0" borderId="22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49" fillId="0" borderId="22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0" fillId="0" borderId="2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1" fillId="0" borderId="22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2" fillId="0" borderId="22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3" fillId="0" borderId="22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4" fillId="0" borderId="22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5" fillId="0" borderId="22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6" fillId="0" borderId="22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7" fillId="0" borderId="22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8" fillId="0" borderId="22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59" fillId="0" borderId="2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0" fillId="0" borderId="2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1" fillId="0" borderId="22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2" fillId="0" borderId="22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3" fillId="0" borderId="2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4" fillId="0" borderId="2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5" fillId="0" borderId="2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6" fillId="0" borderId="2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7" fillId="0" borderId="2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68" fillId="0" borderId="22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69" fillId="0" borderId="22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0" fillId="0" borderId="22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1" fillId="0" borderId="22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2" fillId="0" borderId="2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3" fillId="0" borderId="2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4" fillId="0" borderId="2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5" fillId="0" borderId="2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6" fillId="0" borderId="2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77" fillId="0" borderId="22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8" fillId="0" borderId="22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79" fillId="0" borderId="22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0" fillId="0" borderId="22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1" fillId="0" borderId="2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2" fillId="0" borderId="2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3" fillId="0" borderId="2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4" fillId="0" borderId="22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5" fillId="0" borderId="2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86" fillId="0" borderId="2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7" fillId="0" borderId="22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8" fillId="0" borderId="22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89" fillId="0" borderId="22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0" fillId="0" borderId="22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91" fillId="0" borderId="22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92" fillId="0" borderId="22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093" fillId="0" borderId="22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094" fillId="0" borderId="22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095" fillId="0" borderId="2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6" fillId="0" borderId="22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7" fillId="0" borderId="22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8" fillId="0" borderId="2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099" fillId="0" borderId="22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00" fillId="0" borderId="22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01" fillId="0" borderId="22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02" fillId="0" borderId="22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03" fillId="0" borderId="23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04" fillId="0" borderId="2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5" fillId="0" borderId="2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6" fillId="0" borderId="2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7" fillId="0" borderId="2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08" fillId="0" borderId="2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09" fillId="0" borderId="23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0" fillId="0" borderId="23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1" fillId="0" borderId="23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2" fillId="0" borderId="23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3" fillId="0" borderId="2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4" fillId="0" borderId="23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5" fillId="0" borderId="23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6" fillId="0" borderId="2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17" fillId="0" borderId="23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18" fillId="0" borderId="23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119" fillId="0" borderId="2316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120" fillId="0" borderId="231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121" fillId="0" borderId="2318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22" fillId="0" borderId="23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3" fillId="0" borderId="23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4" fillId="0" borderId="23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5" fillId="0" borderId="23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26" fillId="0" borderId="23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27" fillId="0" borderId="23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28" fillId="0" borderId="23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29" fillId="0" borderId="23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0" fillId="0" borderId="23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1" fillId="0" borderId="23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2" fillId="0" borderId="23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3" fillId="0" borderId="2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4" fillId="0" borderId="2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5" fillId="0" borderId="23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36" fillId="0" borderId="2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7" fillId="0" borderId="2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8" fillId="0" borderId="2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39" fillId="0" borderId="2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0" fillId="0" borderId="2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1" fillId="0" borderId="2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2" fillId="0" borderId="2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3" fillId="0" borderId="2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4" fillId="0" borderId="23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3145" fillId="0" borderId="23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146" fillId="0" borderId="2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7" fillId="0" borderId="2344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3148" fillId="0" borderId="23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49" fillId="0" borderId="2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0" fillId="0" borderId="23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1" fillId="0" borderId="2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2" fillId="0" borderId="2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3" fillId="0" borderId="23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3154" fillId="0" borderId="23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155" fillId="0" borderId="2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6" fillId="0" borderId="23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7" fillId="0" borderId="23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8" fillId="0" borderId="23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59" fillId="0" borderId="23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60" fillId="0" borderId="23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162" fillId="0" borderId="2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59" xfId="0"/>
    <xf numFmtId="0" fontId="0" fillId="0" borderId="2360" xfId="0" applyBorder="true"/>
    <xf numFmtId="0" fontId="0" fillId="0" borderId="2361" xfId="0"/>
    <xf numFmtId="0" fontId="0" fillId="0" borderId="2362" xfId="0"/>
    <xf numFmtId="0" fontId="0" fillId="0" borderId="2363" xfId="0"/>
    <xf numFmtId="0" fontId="0" fillId="0" borderId="2364" xfId="0"/>
    <xf numFmtId="0" fontId="0" fillId="0" borderId="2365" xfId="0" applyBorder="true"/>
    <xf numFmtId="0" fontId="3163" fillId="0" borderId="2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4" fillId="0" borderId="2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5" fillId="0" borderId="2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69" xfId="0" applyBorder="true"/>
    <xf numFmtId="0" fontId="0" fillId="0" borderId="2370" xfId="0"/>
    <xf numFmtId="0" fontId="0" fillId="0" borderId="2371" xfId="0"/>
    <xf numFmtId="0" fontId="0" fillId="0" borderId="2372" xfId="0"/>
    <xf numFmtId="0" fontId="0" fillId="0" borderId="2373" xfId="0"/>
    <xf numFmtId="0" fontId="0" fillId="0" borderId="2374" xfId="0"/>
    <xf numFmtId="0" fontId="0" fillId="0" borderId="2375" xfId="0"/>
    <xf numFmtId="0" fontId="0" fillId="0" borderId="2376" xfId="0"/>
    <xf numFmtId="0" fontId="0" fillId="0" borderId="2377" xfId="0"/>
    <xf numFmtId="0" fontId="0" fillId="0" borderId="2378" xfId="0"/>
    <xf numFmtId="0" fontId="0" fillId="0" borderId="2379" xfId="0"/>
    <xf numFmtId="0" fontId="3166" fillId="0" borderId="2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7" fillId="0" borderId="2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8" fillId="0" borderId="2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383" xfId="0"/>
    <xf numFmtId="0" fontId="0" fillId="0" borderId="2384" xfId="0"/>
    <xf numFmtId="0" fontId="0" fillId="0" borderId="2385" xfId="0" applyBorder="true"/>
    <xf numFmtId="0" fontId="0" fillId="0" borderId="2386" xfId="0"/>
    <xf numFmtId="0" fontId="3170" fillId="0" borderId="2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1" fillId="0" borderId="2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2" fillId="0" borderId="2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3" fillId="0" borderId="2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4" fillId="0" borderId="2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5" fillId="0" borderId="2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6" fillId="0" borderId="2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7" fillId="0" borderId="2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8" fillId="0" borderId="2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79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0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1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2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3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4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5" fillId="0" borderId="2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6" fillId="0" borderId="2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7" fillId="0" borderId="2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8" fillId="0" borderId="2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9" fillId="0" borderId="2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0" fillId="0" borderId="2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1" fillId="0" borderId="2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2" fillId="0" borderId="2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3" fillId="0" borderId="2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4" fillId="0" borderId="2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5" fillId="0" borderId="2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6" fillId="0" borderId="2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7" fillId="0" borderId="2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8" fillId="0" borderId="2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9" fillId="0" borderId="2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0" fillId="0" borderId="2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1" fillId="0" borderId="2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2" fillId="0" borderId="2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3" fillId="0" borderId="2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4" fillId="0" borderId="2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5" fillId="0" borderId="2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6" fillId="0" borderId="2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7" fillId="0" borderId="2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8" fillId="0" borderId="2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9" fillId="0" borderId="2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0" fillId="0" borderId="2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1" fillId="0" borderId="2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2" fillId="0" borderId="2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3" fillId="0" borderId="2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4" fillId="0" borderId="2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5" fillId="0" borderId="2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6" fillId="0" borderId="2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7" fillId="0" borderId="2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8" fillId="0" borderId="2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9" fillId="0" borderId="2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0" fillId="0" borderId="2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21" fillId="0" borderId="2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2" fillId="0" borderId="2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3" fillId="0" borderId="2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4" fillId="0" borderId="2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25" fillId="0" borderId="24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6" fillId="0" borderId="24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7" fillId="0" borderId="2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8" fillId="0" borderId="2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29" fillId="0" borderId="2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0" fillId="0" borderId="2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1" fillId="0" borderId="2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2" fillId="0" borderId="2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3" fillId="0" borderId="2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4" fillId="0" borderId="2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5" fillId="0" borderId="2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6" fillId="0" borderId="2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237" fillId="0" borderId="2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38" fillId="0" borderId="2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239" fillId="0" borderId="2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40" fillId="0" borderId="2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1" fillId="0" borderId="2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42" fillId="0" borderId="2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43" fillId="0" borderId="2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44" fillId="0" borderId="2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45" fillId="0" borderId="2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6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7" fillId="0" borderId="2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8" fillId="0" borderId="2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49" fillId="0" borderId="2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0" fillId="0" borderId="2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1" fillId="0" borderId="2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2" fillId="0" borderId="2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53" fillId="0" borderId="2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54" fillId="0" borderId="2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55" fillId="0" borderId="2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256" fillId="0" borderId="2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58" fillId="0" borderId="2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0" fillId="0" borderId="24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62" fillId="0" borderId="2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64" fillId="0" borderId="2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66" fillId="0" borderId="2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68" fillId="0" borderId="24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0" fillId="0" borderId="2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72" fillId="0" borderId="2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74" fillId="0" borderId="2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76" fillId="0" borderId="24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78" fillId="0" borderId="2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80" fillId="0" borderId="2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82" fillId="0" borderId="2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84" fillId="0" borderId="24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86" fillId="0" borderId="2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288" fillId="0" borderId="2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0" fillId="0" borderId="2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2" fillId="0" borderId="2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4" fillId="0" borderId="2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6" fillId="0" borderId="2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98" fillId="0" borderId="2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0" fillId="0" borderId="2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2" fillId="0" borderId="2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4" fillId="0" borderId="2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06" fillId="0" borderId="2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8" fillId="0" borderId="2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0" fillId="0" borderId="2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2" fillId="0" borderId="2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4" fillId="0" borderId="2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6" fillId="0" borderId="2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8" fillId="0" borderId="2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0" fillId="0" borderId="2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2" fillId="0" borderId="2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4" fillId="0" borderId="2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6" fillId="0" borderId="2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8" fillId="0" borderId="2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0" fillId="0" borderId="2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2" fillId="0" borderId="2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4" fillId="0" borderId="2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6" fillId="0" borderId="2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8" fillId="0" borderId="2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40" fillId="0" borderId="2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2" fillId="0" borderId="2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4" fillId="0" borderId="2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6" fillId="0" borderId="2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8" fillId="0" borderId="2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0" fillId="0" borderId="2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2" fillId="0" borderId="2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4" fillId="0" borderId="2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6" fillId="0" borderId="25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8" fillId="0" borderId="2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0" fillId="0" borderId="2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2" fillId="0" borderId="2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4" fillId="0" borderId="2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6" fillId="0" borderId="2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8" fillId="0" borderId="2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0" fillId="0" borderId="25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2" fillId="0" borderId="25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4" fillId="0" borderId="25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6" fillId="0" borderId="25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8" fillId="0" borderId="25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0" fillId="0" borderId="2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2" fillId="0" borderId="2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4" fillId="0" borderId="25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6" fillId="0" borderId="25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8" fillId="0" borderId="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0" fillId="0" borderId="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2" fillId="0" borderId="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4" fillId="0" borderId="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6" fillId="0" borderId="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398" fillId="0" borderId="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0" fillId="0" borderId="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2" fillId="0" borderId="2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4" fillId="0" borderId="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6" fillId="0" borderId="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08" fillId="0" borderId="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0" fillId="0" borderId="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2" fillId="0" borderId="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4" fillId="0" borderId="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6" fillId="0" borderId="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18" fillId="0" borderId="2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0" fillId="0" borderId="25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22" fillId="0" borderId="2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24" fillId="0" borderId="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26" fillId="0" borderId="2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8" fillId="0" borderId="25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0" fillId="0" borderId="2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32" fillId="0" borderId="2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34" fillId="0" borderId="2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6" fillId="0" borderId="25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38" fillId="0" borderId="2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40" fillId="0" borderId="2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42" fillId="0" borderId="2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44" fillId="0" borderId="25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46" fillId="0" borderId="2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48" fillId="0" borderId="2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0" fillId="0" borderId="2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52" fillId="0" borderId="25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54" fillId="0" borderId="2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56" fillId="0" borderId="2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58" fillId="0" borderId="2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0" fillId="0" borderId="25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62" fillId="0" borderId="2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64" fillId="0" borderId="2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66" fillId="0" borderId="2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68" fillId="0" borderId="25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0" fillId="0" borderId="2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72" fillId="0" borderId="2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74" fillId="0" borderId="2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6" fillId="0" borderId="25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478" fillId="0" borderId="2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480" fillId="0" borderId="2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2" fillId="0" borderId="2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4" fillId="0" borderId="2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6" fillId="0" borderId="2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88" fillId="0" borderId="2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0" fillId="0" borderId="2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2" fillId="0" borderId="2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4" fillId="0" borderId="2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6" fillId="0" borderId="2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98" fillId="0" borderId="2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0" fillId="0" borderId="2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2" fillId="0" borderId="2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4" fillId="0" borderId="2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6" fillId="0" borderId="2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08" fillId="0" borderId="2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0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2" fillId="0" borderId="2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4" fillId="0" borderId="2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6" fillId="0" borderId="2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18" fillId="0" borderId="2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0" fillId="0" borderId="2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2" fillId="0" borderId="2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4" fillId="0" borderId="2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6" fillId="0" borderId="2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28" fillId="0" borderId="2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0" fillId="0" borderId="2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2" fillId="0" borderId="2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4" fillId="0" borderId="2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6" fillId="0" borderId="2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38" fillId="0" borderId="2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0" fillId="0" borderId="2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2" fillId="0" borderId="2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4" fillId="0" borderId="2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46" fillId="0" borderId="26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8" fillId="0" borderId="2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0" fillId="0" borderId="2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2" fillId="0" borderId="2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4" fillId="0" borderId="2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6" fillId="0" borderId="2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58" fillId="0" borderId="2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0" fillId="0" borderId="2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2" fillId="0" borderId="2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64" fillId="0" borderId="2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66" fillId="0" borderId="2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8" fillId="0" borderId="2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0" fillId="0" borderId="2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2" fillId="0" borderId="2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74" fillId="0" borderId="26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6" fillId="0" borderId="26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7" fillId="0" borderId="2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78" fillId="0" borderId="2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79" fillId="0" borderId="26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0" fillId="0" borderId="2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1" fillId="0" borderId="2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2" fillId="0" borderId="2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3" fillId="0" borderId="2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4" fillId="0" borderId="2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5" fillId="0" borderId="26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6" fillId="0" borderId="2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7" fillId="0" borderId="2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8" fillId="0" borderId="2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89" fillId="0" borderId="2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0" fillId="0" borderId="2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1" fillId="0" borderId="2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2" fillId="0" borderId="2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3" fillId="0" borderId="26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94" fillId="0" borderId="2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5" fillId="0" borderId="26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6" fillId="0" borderId="2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7" fillId="0" borderId="2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8" fillId="0" borderId="2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599" fillId="0" borderId="26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0" fillId="0" borderId="2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1" fillId="0" borderId="2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2" fillId="0" borderId="2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3" fillId="0" borderId="2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4" fillId="0" borderId="2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5" fillId="0" borderId="2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6" fillId="0" borderId="2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7" fillId="0" borderId="2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8" fillId="0" borderId="2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09" fillId="0" borderId="2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0" fillId="0" borderId="2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1" fillId="0" borderId="2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2" fillId="0" borderId="2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3" fillId="0" borderId="2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4" fillId="0" borderId="2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5" fillId="0" borderId="2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6" fillId="0" borderId="2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7" fillId="0" borderId="2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18" fillId="0" borderId="26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19" fillId="0" borderId="26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0" fillId="0" borderId="26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1" fillId="0" borderId="26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2" fillId="0" borderId="26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3" fillId="0" borderId="26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4" fillId="0" borderId="26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5" fillId="0" borderId="2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26" fillId="0" borderId="26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7" fillId="0" borderId="26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8" fillId="0" borderId="26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29" fillId="0" borderId="26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0" fillId="0" borderId="26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1" fillId="0" borderId="26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2" fillId="0" borderId="26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3" fillId="0" borderId="2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34" fillId="0" borderId="269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35" fillId="0" borderId="2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36" fillId="0" borderId="26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37" fillId="0" borderId="2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38" fillId="0" borderId="269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39" fillId="0" borderId="26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40" fillId="0" borderId="2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41" fillId="0" borderId="2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42" fillId="0" borderId="269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43" fillId="0" borderId="2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44" fillId="0" borderId="270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45" fillId="0" borderId="27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46" fillId="0" borderId="2703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47" fillId="0" borderId="27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48" fillId="0" borderId="27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49" fillId="0" borderId="27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50" fillId="0" borderId="2707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51" fillId="0" borderId="27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52" fillId="0" borderId="27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3" fillId="0" borderId="2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54" fillId="0" borderId="2711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55" fillId="0" borderId="27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56" fillId="0" borderId="2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7" fillId="0" borderId="27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58" fillId="0" borderId="2715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59" fillId="0" borderId="2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60" fillId="0" borderId="2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1" fillId="0" borderId="2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662" fillId="0" borderId="2719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3663" fillId="0" borderId="2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3664" fillId="0" borderId="27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5" fillId="0" borderId="2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66" fillId="0" borderId="2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7" fillId="0" borderId="2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8" fillId="0" borderId="27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69" fillId="0" borderId="2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0" fillId="0" borderId="27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1" fillId="0" borderId="2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2" fillId="0" borderId="27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3" fillId="0" borderId="2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74" fillId="0" borderId="27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5" fillId="0" borderId="27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6" fillId="0" borderId="27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7" fillId="0" borderId="2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8" fillId="0" borderId="273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79" fillId="0" borderId="27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0" fillId="0" borderId="27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1" fillId="0" borderId="2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82" fillId="0" borderId="27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3" fillId="0" borderId="27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4" fillId="0" borderId="2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5" fillId="0" borderId="2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6" fillId="0" borderId="27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7" fillId="0" borderId="2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8" fillId="0" borderId="27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89" fillId="0" borderId="2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0" fillId="0" borderId="27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1" fillId="0" borderId="2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2" fillId="0" borderId="274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3" fillId="0" borderId="27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4" fillId="0" borderId="27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5" fillId="0" borderId="27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6" fillId="0" borderId="27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7" fillId="0" borderId="2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698" fillId="0" borderId="27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99" fillId="0" borderId="2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0" fillId="0" borderId="27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1" fillId="0" borderId="2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2" fillId="0" borderId="2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3" fillId="0" borderId="2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4" fillId="0" borderId="27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5" fillId="0" borderId="2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706" fillId="0" borderId="27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07" fillId="0" borderId="27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08" fillId="0" borderId="2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09" fillId="0" borderId="27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3710" fillId="0" borderId="27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11" fillId="0" borderId="2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712" fillId="0" borderId="2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2770" xfId="0"/>
    <xf numFmtId="0" fontId="0" fillId="0" borderId="2771" xfId="0" applyBorder="true"/>
    <xf numFmtId="0" fontId="3714" fillId="0" borderId="27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773" xfId="0"/>
    <xf numFmtId="0" fontId="0" fillId="0" borderId="2774" xfId="0"/>
    <xf numFmtId="0" fontId="0" fillId="0" borderId="2775" xfId="0"/>
    <xf numFmtId="0" fontId="0" fillId="0" borderId="2776" xfId="0" applyBorder="true"/>
    <xf numFmtId="0" fontId="3715" fillId="0" borderId="27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6" fillId="0" borderId="27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7" fillId="0" borderId="27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780" xfId="0" applyBorder="true"/>
    <xf numFmtId="0" fontId="0" fillId="0" borderId="2781" xfId="0"/>
    <xf numFmtId="0" fontId="0" fillId="0" borderId="2782" xfId="0"/>
    <xf numFmtId="0" fontId="0" fillId="0" borderId="2783" xfId="0"/>
    <xf numFmtId="0" fontId="0" fillId="0" borderId="2784" xfId="0"/>
    <xf numFmtId="0" fontId="0" fillId="0" borderId="2785" xfId="0"/>
    <xf numFmtId="0" fontId="0" fillId="0" borderId="2786" xfId="0"/>
    <xf numFmtId="0" fontId="0" fillId="0" borderId="2787" xfId="0"/>
    <xf numFmtId="0" fontId="0" fillId="0" borderId="2788" xfId="0"/>
    <xf numFmtId="0" fontId="0" fillId="0" borderId="2789" xfId="0"/>
    <xf numFmtId="0" fontId="0" fillId="0" borderId="2790" xfId="0"/>
    <xf numFmtId="0" fontId="0" fillId="0" borderId="2791" xfId="0"/>
    <xf numFmtId="0" fontId="3718" fillId="0" borderId="27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0" fillId="0" borderId="2793" xfId="0"/>
    <xf numFmtId="0" fontId="0" fillId="0" borderId="2794" xfId="0"/>
    <xf numFmtId="0" fontId="0" fillId="0" borderId="2795" xfId="0"/>
    <xf numFmtId="0" fontId="0" fillId="0" borderId="2796" xfId="0"/>
    <xf numFmtId="0" fontId="0" fillId="0" borderId="2797" xfId="0"/>
    <xf numFmtId="0" fontId="0" fillId="0" borderId="2798" xfId="0"/>
    <xf numFmtId="0" fontId="3719" fillId="0" borderId="27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0" fillId="0" borderId="28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1" fillId="0" borderId="28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2" fillId="0" borderId="28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803" xfId="0"/>
    <xf numFmtId="0" fontId="0" fillId="0" borderId="2804" xfId="0"/>
    <xf numFmtId="0" fontId="3723" fillId="0" borderId="28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4" fillId="0" borderId="28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5" fillId="0" borderId="28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6" fillId="0" borderId="28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809" xfId="0"/>
    <xf numFmtId="0" fontId="0" fillId="0" borderId="2810" xfId="0"/>
    <xf numFmtId="0" fontId="0" fillId="0" borderId="2811" xfId="0" applyBorder="true"/>
    <xf numFmtId="0" fontId="3727" fillId="0" borderId="28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8" fillId="0" borderId="28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814" xfId="0" applyBorder="true"/>
    <xf numFmtId="0" fontId="0" fillId="0" borderId="2815" xfId="0"/>
    <xf numFmtId="0" fontId="3730" fillId="0" borderId="28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1" fillId="0" borderId="2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2" fillId="0" borderId="2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3" fillId="0" borderId="2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4" fillId="0" borderId="2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5" fillId="0" borderId="2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6" fillId="0" borderId="2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7" fillId="0" borderId="2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8" fillId="0" borderId="2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9" fillId="0" borderId="2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0" fillId="0" borderId="2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1" fillId="0" borderId="2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2" fillId="0" borderId="2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3" fillId="0" borderId="2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4" fillId="0" borderId="2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5" fillId="0" borderId="2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6" fillId="0" borderId="2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7" fillId="0" borderId="2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8" fillId="0" borderId="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49" fillId="0" borderId="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0" fillId="0" borderId="2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1" fillId="0" borderId="2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2" fillId="0" borderId="2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3" fillId="0" borderId="2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4" fillId="0" borderId="2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5" fillId="0" borderId="2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6" fillId="0" borderId="2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7" fillId="0" borderId="2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8" fillId="0" borderId="2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59" fillId="0" borderId="2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0" fillId="0" borderId="2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1" fillId="0" borderId="2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2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3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4" fillId="0" borderId="2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5" fillId="0" borderId="2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6" fillId="0" borderId="2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7" fillId="0" borderId="2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8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69" fillId="0" borderId="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0" fillId="0" borderId="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1" fillId="0" borderId="2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2" fillId="0" borderId="2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3" fillId="0" borderId="2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4" fillId="0" borderId="2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5" fillId="0" borderId="2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6" fillId="0" borderId="2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7" fillId="0" borderId="2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8" fillId="0" borderId="2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9" fillId="0" borderId="2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0" fillId="0" borderId="2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1" fillId="0" borderId="2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2" fillId="0" borderId="2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3" fillId="0" borderId="2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4" fillId="0" borderId="2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5" fillId="0" borderId="2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6" fillId="0" borderId="2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7" fillId="0" borderId="2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8" fillId="0" borderId="2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89" fillId="0" borderId="2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0" fillId="0" borderId="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1" fillId="0" borderId="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2" fillId="0" borderId="2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3" fillId="0" borderId="2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4" fillId="0" borderId="2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5" fillId="0" borderId="2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6" fillId="0" borderId="2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7" fillId="0" borderId="2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8" fillId="0" borderId="2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9" fillId="0" borderId="2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0" fillId="0" borderId="2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1" fillId="0" borderId="2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2" fillId="0" borderId="2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3" fillId="0" borderId="2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4" fillId="0" borderId="2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5" fillId="0" borderId="2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6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7" fillId="0" borderId="2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8" fillId="0" borderId="2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09" fillId="0" borderId="2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0" fillId="0" borderId="2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1" fillId="0" borderId="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2" fillId="0" borderId="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3" fillId="0" borderId="2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4" fillId="0" borderId="2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5" fillId="0" borderId="2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6" fillId="0" borderId="2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7" fillId="0" borderId="2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8" fillId="0" borderId="2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9" fillId="0" borderId="2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20" fillId="0" borderId="2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1" fillId="0" borderId="2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2" fillId="0" borderId="2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3" fillId="0" borderId="2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4" fillId="0" borderId="2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5" fillId="0" borderId="2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26" fillId="0" borderId="2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7" fillId="0" borderId="2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8" fillId="0" borderId="2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9" fillId="0" borderId="2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0" fillId="0" borderId="2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1" fillId="0" borderId="2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2" fillId="0" borderId="2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3" fillId="0" borderId="2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4" fillId="0" borderId="2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5" fillId="0" borderId="2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6" fillId="0" borderId="2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7" fillId="0" borderId="2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8" fillId="0" borderId="29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39" fillId="0" borderId="29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0" fillId="0" borderId="29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1" fillId="0" borderId="29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2" fillId="0" borderId="29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3" fillId="0" borderId="29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44" fillId="0" borderId="29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5" fillId="0" borderId="2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6" fillId="0" borderId="2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7" fillId="0" borderId="2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8" fillId="0" borderId="2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9" fillId="0" borderId="2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0" fillId="0" borderId="29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1" fillId="0" borderId="29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2" fillId="0" borderId="29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3" fillId="0" borderId="29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4" fillId="0" borderId="29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5" fillId="0" borderId="29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6" fillId="0" borderId="2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7" fillId="0" borderId="29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58" fillId="0" borderId="29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59" fillId="0" borderId="29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0" fillId="0" borderId="2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1" fillId="0" borderId="2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2" fillId="0" borderId="2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3" fillId="0" borderId="2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64" fillId="0" borderId="2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5" fillId="0" borderId="2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66" fillId="0" borderId="2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67" fillId="0" borderId="2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68" fillId="0" borderId="2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69" fillId="0" borderId="29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0" fillId="0" borderId="2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1" fillId="0" borderId="2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2" fillId="0" borderId="2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3" fillId="0" borderId="2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74" fillId="0" borderId="2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5" fillId="0" borderId="2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6" fillId="0" borderId="2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7" fillId="0" borderId="2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8" fillId="0" borderId="2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79" fillId="0" borderId="2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80" fillId="0" borderId="2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1" fillId="0" borderId="2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2" fillId="0" borderId="2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3" fillId="0" borderId="2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4" fillId="0" borderId="2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5" fillId="0" borderId="2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86" fillId="0" borderId="2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87" fillId="0" borderId="2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88" fillId="0" borderId="2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89" fillId="0" borderId="2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90" fillId="0" borderId="2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91" fillId="0" borderId="2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92" fillId="0" borderId="2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3" fillId="0" borderId="2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4" fillId="0" borderId="2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5" fillId="0" borderId="2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6" fillId="0" borderId="2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7" fillId="0" borderId="2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898" fillId="0" borderId="2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899" fillId="0" borderId="2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0" fillId="0" borderId="2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1" fillId="0" borderId="2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2" fillId="0" borderId="2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3" fillId="0" borderId="2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4" fillId="0" borderId="2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5" fillId="0" borderId="2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6" fillId="0" borderId="2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7" fillId="0" borderId="2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908" fillId="0" borderId="2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09" fillId="0" borderId="2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1" fillId="0" borderId="2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13" fillId="0" borderId="29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15" fillId="0" borderId="2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17" fillId="0" borderId="2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19" fillId="0" borderId="3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1" fillId="0" borderId="30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23" fillId="0" borderId="3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25" fillId="0" borderId="3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27" fillId="0" borderId="3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29" fillId="0" borderId="30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1" fillId="0" borderId="3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33" fillId="0" borderId="3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35" fillId="0" borderId="3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7" fillId="0" borderId="30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39" fillId="0" borderId="30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41" fillId="0" borderId="3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43" fillId="0" borderId="30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5" fillId="0" borderId="30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47" fillId="0" borderId="30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49" fillId="0" borderId="3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1" fillId="0" borderId="30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53" fillId="0" borderId="30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955" fillId="0" borderId="3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3957" fillId="0" borderId="3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59" fillId="0" borderId="3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1" fillId="0" borderId="3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3" fillId="0" borderId="3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5" fillId="0" borderId="3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7" fillId="0" borderId="3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69" fillId="0" borderId="3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1" fillId="0" borderId="3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3" fillId="0" borderId="3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5" fillId="0" borderId="3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7" fillId="0" borderId="3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79" fillId="0" borderId="3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981" fillId="0" borderId="3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3" fillId="0" borderId="30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5" fillId="0" borderId="3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7" fillId="0" borderId="30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9" fillId="0" borderId="3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1" fillId="0" borderId="30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3" fillId="0" borderId="3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5" fillId="0" borderId="30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7" fillId="0" borderId="3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9" fillId="0" borderId="30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1" fillId="0" borderId="3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3" fillId="0" borderId="30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5" fillId="0" borderId="3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7" fillId="0" borderId="3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09" fillId="0" borderId="3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1" fillId="0" borderId="3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3" fillId="0" borderId="3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5" fillId="0" borderId="3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7" fillId="0" borderId="3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9" fillId="0" borderId="3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1" fillId="0" borderId="3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3" fillId="0" borderId="3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5" fillId="0" borderId="3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7" fillId="0" borderId="3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9" fillId="0" borderId="3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31" fillId="0" borderId="3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3" fillId="0" borderId="3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5" fillId="0" borderId="3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7" fillId="0" borderId="3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9" fillId="0" borderId="3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1" fillId="0" borderId="3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3" fillId="0" borderId="3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5" fillId="0" borderId="3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7" fillId="0" borderId="3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9" fillId="0" borderId="3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1" fillId="0" borderId="3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3" fillId="0" borderId="3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5" fillId="0" borderId="3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7" fillId="0" borderId="3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9" fillId="0" borderId="3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1" fillId="0" borderId="3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3" fillId="0" borderId="3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5" fillId="0" borderId="3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7" fillId="0" borderId="3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9" fillId="0" borderId="3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1" fillId="0" borderId="3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3" fillId="0" borderId="30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5" fillId="0" borderId="30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7" fillId="0" borderId="30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9" fillId="0" borderId="30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1" fillId="0" borderId="3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3" fillId="0" borderId="3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5" fillId="0" borderId="3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7" fillId="0" borderId="3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9" fillId="0" borderId="30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1" fillId="0" borderId="30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3" fillId="0" borderId="30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5" fillId="0" borderId="30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7" fillId="0" borderId="3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9" fillId="0" borderId="3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1" fillId="0" borderId="3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3" fillId="0" borderId="3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5" fillId="0" borderId="3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7" fillId="0" borderId="3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09" fillId="0" borderId="3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1" fillId="0" borderId="3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3" fillId="0" borderId="3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5" fillId="0" borderId="3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7" fillId="0" borderId="3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19" fillId="0" borderId="3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1" fillId="0" borderId="3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3" fillId="0" borderId="3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5" fillId="0" borderId="3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7" fillId="0" borderId="3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29" fillId="0" borderId="3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1" fillId="0" borderId="3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3" fillId="0" borderId="3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5" fillId="0" borderId="3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7" fillId="0" borderId="3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39" fillId="0" borderId="3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1" fillId="0" borderId="3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3" fillId="0" borderId="3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5" fillId="0" borderId="3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7" fillId="0" borderId="3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49" fillId="0" borderId="3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1" fillId="0" borderId="3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53" fillId="0" borderId="3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55" fillId="0" borderId="3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57" fillId="0" borderId="3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59" fillId="0" borderId="3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1" fillId="0" borderId="3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63" fillId="0" borderId="3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65" fillId="0" borderId="3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67" fillId="0" borderId="3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69" fillId="0" borderId="3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71" fillId="0" borderId="3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73" fillId="0" borderId="3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75" fillId="0" borderId="3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77" fillId="0" borderId="3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79" fillId="0" borderId="3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1" fillId="0" borderId="3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83" fillId="0" borderId="31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85" fillId="0" borderId="3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87" fillId="0" borderId="3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89" fillId="0" borderId="3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1" fillId="0" borderId="31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93" fillId="0" borderId="3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195" fillId="0" borderId="3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197" fillId="0" borderId="3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9" fillId="0" borderId="31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1" fillId="0" borderId="3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03" fillId="0" borderId="3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05" fillId="0" borderId="3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7" fillId="0" borderId="31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09" fillId="0" borderId="3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1" fillId="0" borderId="3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3" fillId="0" borderId="3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15" fillId="0" borderId="31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17" fillId="0" borderId="3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19" fillId="0" borderId="3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1" fillId="0" borderId="3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23" fillId="0" borderId="31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25" fillId="0" borderId="3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27" fillId="0" borderId="3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29" fillId="0" borderId="3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1" fillId="0" borderId="31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33" fillId="0" borderId="3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35" fillId="0" borderId="3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37" fillId="0" borderId="3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39" fillId="0" borderId="31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1" fillId="0" borderId="3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43" fillId="0" borderId="3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45" fillId="0" borderId="3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7" fillId="0" borderId="31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49" fillId="0" borderId="3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1" fillId="0" borderId="3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53" fillId="0" borderId="3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5" fillId="0" borderId="31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57" fillId="0" borderId="3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59" fillId="0" borderId="3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1" fillId="0" borderId="3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63" fillId="0" borderId="31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65" fillId="0" borderId="3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67" fillId="0" borderId="3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69" fillId="0" borderId="3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1" fillId="0" borderId="31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73" fillId="0" borderId="3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75" fillId="0" borderId="3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77" fillId="0" borderId="3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79" fillId="0" borderId="3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1" fillId="0" borderId="3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83" fillId="0" borderId="3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85" fillId="0" borderId="3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87" fillId="0" borderId="3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289" fillId="0" borderId="3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291" fillId="0" borderId="3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3" fillId="0" borderId="3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5" fillId="0" borderId="3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7" fillId="0" borderId="3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99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1" fillId="0" borderId="3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3" fillId="0" borderId="3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5" fillId="0" borderId="3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7" fillId="0" borderId="3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09" fillId="0" borderId="3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1" fillId="0" borderId="3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3" fillId="0" borderId="3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5" fillId="0" borderId="3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17" fillId="0" borderId="3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9" fillId="0" borderId="3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1" fillId="0" borderId="3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3" fillId="0" borderId="3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5" fillId="0" borderId="3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7" fillId="0" borderId="3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29" fillId="0" borderId="3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1" fillId="0" borderId="3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3" fillId="0" borderId="3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5" fillId="0" borderId="3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7" fillId="0" borderId="3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39" fillId="0" borderId="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1" fillId="0" borderId="3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3" fillId="0" borderId="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5" fillId="0" borderId="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7" fillId="0" borderId="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49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1" fillId="0" borderId="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3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5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7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59" fillId="0" borderId="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1" fillId="0" borderId="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3" fillId="0" borderId="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5" fillId="0" borderId="3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67" fillId="0" borderId="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69" fillId="0" borderId="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1" fillId="0" borderId="3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3" fillId="0" borderId="3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5" fillId="0" borderId="3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7" fillId="0" borderId="3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79" fillId="0" borderId="3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1" fillId="0" borderId="3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3" fillId="0" borderId="3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5" fillId="0" borderId="3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7" fillId="0" borderId="3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89" fillId="0" borderId="3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1" fillId="0" borderId="3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93" fillId="0" borderId="3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5" fillId="0" borderId="3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7" fillId="0" borderId="3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9" fillId="0" borderId="3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1" fillId="0" borderId="3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3" fillId="0" borderId="3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5" fillId="0" borderId="3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7" fillId="0" borderId="3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09" fillId="0" borderId="3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1" fillId="0" borderId="3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3" fillId="0" borderId="324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15" fillId="0" borderId="3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7" fillId="0" borderId="3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9" fillId="0" borderId="3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1" fillId="0" borderId="3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3" fillId="0" borderId="3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5" fillId="0" borderId="3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7" fillId="0" borderId="3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29" fillId="0" borderId="3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1" fillId="0" borderId="3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3" fillId="0" borderId="3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5" fillId="0" borderId="3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7" fillId="0" borderId="3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9" fillId="0" borderId="3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1" fillId="0" borderId="3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3" fillId="0" borderId="3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5" fillId="0" borderId="3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7" fillId="0" borderId="3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49" fillId="0" borderId="3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1" fillId="0" borderId="3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3" fillId="0" borderId="3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5" fillId="0" borderId="3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7" fillId="0" borderId="3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59" fillId="0" borderId="3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1" fillId="0" borderId="3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3" fillId="0" borderId="3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5" fillId="0" borderId="3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7" fillId="0" borderId="3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69" fillId="0" borderId="3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1" fillId="0" borderId="3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3" fillId="0" borderId="3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5" fillId="0" borderId="3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7" fillId="0" borderId="3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79" fillId="0" borderId="3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1" fillId="0" borderId="3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3" fillId="0" borderId="3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85" fillId="0" borderId="3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87" fillId="0" borderId="32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89" fillId="0" borderId="3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91" fillId="0" borderId="3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93" fillId="0" borderId="3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95" fillId="0" borderId="32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497" fillId="0" borderId="3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499" fillId="0" borderId="3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1" fillId="0" borderId="3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03" fillId="0" borderId="32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05" fillId="0" borderId="3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507" fillId="0" borderId="3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508" fillId="0" borderId="3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09" fillId="0" borderId="3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0" fillId="0" borderId="32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1" fillId="0" borderId="3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2" fillId="0" borderId="3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3" fillId="0" borderId="3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4" fillId="0" borderId="3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5" fillId="0" borderId="3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6" fillId="0" borderId="3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7" fillId="0" borderId="3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8" fillId="0" borderId="33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19" fillId="0" borderId="33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0" fillId="0" borderId="33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1" fillId="0" borderId="33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2" fillId="0" borderId="33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3" fillId="0" borderId="3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4" fillId="0" borderId="33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5" fillId="0" borderId="33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6" fillId="0" borderId="3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7" fillId="0" borderId="3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8" fillId="0" borderId="3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29" fillId="0" borderId="3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0" fillId="0" borderId="3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1" fillId="0" borderId="3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2" fillId="0" borderId="33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33" fillId="0" borderId="33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4" fillId="0" borderId="33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5" fillId="0" borderId="33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6" fillId="0" borderId="33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7" fillId="0" borderId="33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8" fillId="0" borderId="33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39" fillId="0" borderId="33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0" fillId="0" borderId="33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1" fillId="0" borderId="33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2" fillId="0" borderId="33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3" fillId="0" borderId="33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4" fillId="0" borderId="33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5" fillId="0" borderId="33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6" fillId="0" borderId="33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7" fillId="0" borderId="33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8" fillId="0" borderId="33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49" fillId="0" borderId="33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0" fillId="0" borderId="33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1" fillId="0" borderId="33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2" fillId="0" borderId="33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3" fillId="0" borderId="33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4" fillId="0" borderId="33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5" fillId="0" borderId="33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6" fillId="0" borderId="33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7" fillId="0" borderId="33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8" fillId="0" borderId="33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59" fillId="0" borderId="33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0" fillId="0" borderId="33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1" fillId="0" borderId="33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2" fillId="0" borderId="33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3" fillId="0" borderId="33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4" fillId="0" borderId="33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5" fillId="0" borderId="33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6" fillId="0" borderId="33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7" fillId="0" borderId="33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8" fillId="0" borderId="33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69" fillId="0" borderId="33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0" fillId="0" borderId="33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1" fillId="0" borderId="33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2" fillId="0" borderId="33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3" fillId="0" borderId="33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4" fillId="0" borderId="33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5" fillId="0" borderId="33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6" fillId="0" borderId="33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7" fillId="0" borderId="3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8" fillId="0" borderId="3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79" fillId="0" borderId="3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0" fillId="0" borderId="33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581" fillId="0" borderId="33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2" fillId="0" borderId="33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3" fillId="0" borderId="33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4" fillId="0" borderId="33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5" fillId="0" borderId="33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6" fillId="0" borderId="33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7" fillId="0" borderId="33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8" fillId="0" borderId="33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89" fillId="0" borderId="33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0" fillId="0" borderId="33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1" fillId="0" borderId="33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2" fillId="0" borderId="33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593" fillId="0" borderId="33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594" fillId="0" borderId="33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595" fillId="0" borderId="33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596" fillId="0" borderId="33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597" fillId="0" borderId="33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598" fillId="0" borderId="33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599" fillId="0" borderId="33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0" fillId="0" borderId="33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01" fillId="0" borderId="338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02" fillId="0" borderId="33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03" fillId="0" borderId="33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4" fillId="0" borderId="33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05" fillId="0" borderId="339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06" fillId="0" borderId="33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07" fillId="0" borderId="33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08" fillId="0" borderId="33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09" fillId="0" borderId="33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10" fillId="0" borderId="33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11" fillId="0" borderId="33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12" fillId="0" borderId="33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13" fillId="0" borderId="34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14" fillId="0" borderId="34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15" fillId="0" borderId="34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16" fillId="0" borderId="3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17" fillId="0" borderId="340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18" fillId="0" borderId="34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19" fillId="0" borderId="3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0" fillId="0" borderId="34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21" fillId="0" borderId="340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22" fillId="0" borderId="3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23" fillId="0" borderId="34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4" fillId="0" borderId="34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25" fillId="0" borderId="34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26" fillId="0" borderId="34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27" fillId="0" borderId="3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28" fillId="0" borderId="34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29" fillId="0" borderId="34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30" fillId="0" borderId="34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1" fillId="0" borderId="34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2" fillId="0" borderId="34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33" fillId="0" borderId="34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34" fillId="0" borderId="34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5" fillId="0" borderId="34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36" fillId="0" borderId="34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37" fillId="0" borderId="342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38" fillId="0" borderId="34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39" fillId="0" borderId="34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0" fillId="0" borderId="34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1" fillId="0" borderId="342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42" fillId="0" borderId="34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43" fillId="0" borderId="34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4" fillId="0" borderId="34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5" fillId="0" borderId="343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46" fillId="0" borderId="34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47" fillId="0" borderId="34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48" fillId="0" borderId="34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49" fillId="0" borderId="34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50" fillId="0" borderId="34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51" fillId="0" borderId="34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2" fillId="0" borderId="34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53" fillId="0" borderId="34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54" fillId="0" borderId="34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55" fillId="0" borderId="34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56" fillId="0" borderId="34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57" fillId="0" borderId="344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58" fillId="0" borderId="34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59" fillId="0" borderId="34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0" fillId="0" borderId="34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661" fillId="0" borderId="344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662" fillId="0" borderId="34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663" fillId="0" borderId="34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4" fillId="0" borderId="34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65" fillId="0" borderId="34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6" fillId="0" borderId="34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7" fillId="0" borderId="34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8" fillId="0" borderId="34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69" fillId="0" borderId="3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0" fillId="0" borderId="34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1" fillId="0" borderId="3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2" fillId="0" borderId="3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3" fillId="0" borderId="3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4" fillId="0" borderId="3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5" fillId="0" borderId="3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6" fillId="0" borderId="34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77" fillId="0" borderId="34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8" fillId="0" borderId="34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79" fillId="0" borderId="34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0" fillId="0" borderId="34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1" fillId="0" borderId="34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2" fillId="0" borderId="34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3" fillId="0" borderId="34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4" fillId="0" borderId="3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5" fillId="0" borderId="3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6" fillId="0" borderId="3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7" fillId="0" borderId="3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88" fillId="0" borderId="34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689" fillId="0" borderId="3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0" fillId="0" borderId="3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1" fillId="0" borderId="34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2" fillId="0" borderId="3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3" fillId="0" borderId="34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4" fillId="0" borderId="34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5" fillId="0" borderId="34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6" fillId="0" borderId="3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7" fillId="0" borderId="34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8" fillId="0" borderId="34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699" fillId="0" borderId="34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0" fillId="0" borderId="3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01" fillId="0" borderId="34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2" fillId="0" borderId="34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3" fillId="0" borderId="34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4" fillId="0" borderId="3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5" fillId="0" borderId="34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6" fillId="0" borderId="34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7" fillId="0" borderId="34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8" fillId="0" borderId="34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09" fillId="0" borderId="34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0" fillId="0" borderId="34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1" fillId="0" borderId="34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2" fillId="0" borderId="3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13" fillId="0" borderId="35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4" fillId="0" borderId="35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5" fillId="0" borderId="3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6" fillId="0" borderId="3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17" fillId="0" borderId="3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18" fillId="0" borderId="3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19" fillId="0" borderId="3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0" fillId="0" borderId="3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21" fillId="0" borderId="3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22" fillId="0" borderId="3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3" fillId="0" borderId="3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4" fillId="0" borderId="3511" xfId="0" applyNumberFormat="true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0" fontId="4725" fillId="0" borderId="3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6" fillId="0" borderId="3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7" fillId="0" borderId="3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8" fillId="0" borderId="3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29" fillId="0" borderId="3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0" fillId="0" borderId="3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1" fillId="0" borderId="3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2" fillId="0" borderId="3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3" fillId="0" borderId="3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4" fillId="0" borderId="3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5" fillId="0" borderId="3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6" fillId="0" borderId="3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37" fillId="0" borderId="35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8" fillId="0" borderId="35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39" fillId="0" borderId="3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0" fillId="0" borderId="35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1" fillId="0" borderId="35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2" fillId="0" borderId="35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3" fillId="0" borderId="3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4" fillId="0" borderId="353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5" fillId="0" borderId="35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6" fillId="0" borderId="353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7" fillId="0" borderId="3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48" fillId="0" borderId="3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749" fillId="0" borderId="35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0" fillId="0" borderId="353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1" fillId="0" borderId="3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2" fillId="0" borderId="3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3" fillId="0" borderId="35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4" fillId="0" borderId="35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5" fillId="0" borderId="3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6" fillId="0" borderId="3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7" fillId="0" borderId="3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8" fillId="0" borderId="35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59" fillId="0" borderId="3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0" fillId="0" borderId="3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61" fillId="0" borderId="354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762" fillId="0" borderId="3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763" fillId="0" borderId="35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4" fillId="0" borderId="3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65" fillId="0" borderId="355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766" fillId="0" borderId="3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767" fillId="0" borderId="3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68" fillId="0" borderId="3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769" fillId="0" borderId="35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4770" fillId="0" borderId="3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771" fillId="0" borderId="3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0" fillId="0" borderId="3559" xfId="0"/>
    <xf numFmtId="0" fontId="0" fillId="0" borderId="3560" xfId="0" applyBorder="true"/>
    <xf numFmtId="0" fontId="4773" fillId="0" borderId="3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62" xfId="0"/>
    <xf numFmtId="0" fontId="4775" fillId="0" borderId="3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64" xfId="0"/>
    <xf numFmtId="0" fontId="0" fillId="0" borderId="3565" xfId="0" applyBorder="true"/>
    <xf numFmtId="0" fontId="0" fillId="0" borderId="3566" xfId="0" applyBorder="true"/>
    <xf numFmtId="0" fontId="0" fillId="0" borderId="3567" xfId="0"/>
    <xf numFmtId="0" fontId="0" fillId="0" borderId="3568" xfId="0"/>
    <xf numFmtId="0" fontId="0" fillId="0" borderId="3569" xfId="0"/>
    <xf numFmtId="0" fontId="0" fillId="0" borderId="3570" xfId="0"/>
    <xf numFmtId="0" fontId="0" fillId="0" borderId="3571" xfId="0"/>
    <xf numFmtId="0" fontId="0" fillId="0" borderId="3572" xfId="0" applyBorder="true"/>
    <xf numFmtId="0" fontId="4776" fillId="0" borderId="3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7" fillId="0" borderId="3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8" fillId="0" borderId="3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79" fillId="0" borderId="3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0" fillId="0" borderId="3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578" xfId="0"/>
    <xf numFmtId="0" fontId="4782" fillId="0" borderId="3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3" fillId="0" borderId="3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4" fillId="0" borderId="3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5" fillId="0" borderId="3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6" fillId="0" borderId="3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7" fillId="0" borderId="3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8" fillId="0" borderId="3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89" fillId="0" borderId="3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0" fillId="0" borderId="3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1" fillId="0" borderId="3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2" fillId="0" borderId="3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3" fillId="0" borderId="3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4" fillId="0" borderId="3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5" fillId="0" borderId="3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6" fillId="0" borderId="3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7" fillId="0" borderId="3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8" fillId="0" borderId="3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799" fillId="0" borderId="3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0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1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2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3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04" fillId="0" borderId="3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805" fillId="0" borderId="36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6" fillId="0" borderId="36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7" fillId="0" borderId="36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8" fillId="0" borderId="36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9" fillId="0" borderId="36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0" fillId="0" borderId="36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1" fillId="0" borderId="36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2" fillId="0" borderId="36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3" fillId="0" borderId="36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4" fillId="0" borderId="36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5" fillId="0" borderId="36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6" fillId="0" borderId="36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7" fillId="0" borderId="36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8" fillId="0" borderId="36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19" fillId="0" borderId="36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0" fillId="0" borderId="36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1" fillId="0" borderId="36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2" fillId="0" borderId="36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3" fillId="0" borderId="36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24" fillId="0" borderId="36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4825" fillId="0" borderId="36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26" fillId="0" borderId="36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27" fillId="0" borderId="36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28" fillId="0" borderId="36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29" fillId="0" borderId="36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0" fillId="0" borderId="36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1" fillId="0" borderId="36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2" fillId="0" borderId="36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3" fillId="0" borderId="36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4" fillId="0" borderId="36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835" fillId="0" borderId="3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36" fillId="0" borderId="3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37" fillId="0" borderId="3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38" fillId="0" borderId="3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39" fillId="0" borderId="3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40" fillId="0" borderId="3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41" fillId="0" borderId="3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42" fillId="0" borderId="3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43" fillId="0" borderId="3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844" fillId="0" borderId="3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6" fillId="0" borderId="3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48" fillId="0" borderId="3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0" fillId="0" borderId="3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52" fillId="0" borderId="3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4" fillId="0" borderId="3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6" fillId="0" borderId="36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8" fillId="0" borderId="36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0" fillId="0" borderId="36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2" fillId="0" borderId="36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4" fillId="0" borderId="36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6" fillId="0" borderId="3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8" fillId="0" borderId="3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70" fillId="0" borderId="3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2" fillId="0" borderId="3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4" fillId="0" borderId="3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6" fillId="0" borderId="36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78" fillId="0" borderId="36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0" fillId="0" borderId="36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2" fillId="0" borderId="36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4" fillId="0" borderId="36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6" fillId="0" borderId="3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8" fillId="0" borderId="3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0" fillId="0" borderId="3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2" fillId="0" borderId="3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4" fillId="0" borderId="3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6" fillId="0" borderId="3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98" fillId="0" borderId="3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0" fillId="0" borderId="36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2" fillId="0" borderId="3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4" fillId="0" borderId="3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6" fillId="0" borderId="3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08" fillId="0" borderId="3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0" fillId="0" borderId="36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12" fillId="0" borderId="3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14" fillId="0" borderId="3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16" fillId="0" borderId="36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18" fillId="0" borderId="36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0" fillId="0" borderId="36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22" fillId="0" borderId="3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24" fillId="0" borderId="36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26" fillId="0" borderId="36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28" fillId="0" borderId="3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30" fillId="0" borderId="3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32" fillId="0" borderId="3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34" fillId="0" borderId="36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36" fillId="0" borderId="36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38" fillId="0" borderId="3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0" fillId="0" borderId="36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42" fillId="0" borderId="36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44" fillId="0" borderId="36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46" fillId="0" borderId="3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48" fillId="0" borderId="3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0" fillId="0" borderId="36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2" fillId="0" borderId="3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54" fillId="0" borderId="3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56" fillId="0" borderId="36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58" fillId="0" borderId="36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0" fillId="0" borderId="36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62" fillId="0" borderId="3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64" fillId="0" borderId="37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66" fillId="0" borderId="37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68" fillId="0" borderId="3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70" fillId="0" borderId="3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72" fillId="0" borderId="3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74" fillId="0" borderId="37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76" fillId="0" borderId="37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78" fillId="0" borderId="3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0" fillId="0" borderId="37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82" fillId="0" borderId="37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84" fillId="0" borderId="37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986" fillId="0" borderId="3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88" fillId="0" borderId="37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0" fillId="0" borderId="3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2" fillId="0" borderId="3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4" fillId="0" borderId="3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996" fillId="0" borderId="37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8" fillId="0" borderId="3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0" fillId="0" borderId="3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2" fillId="0" borderId="3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4" fillId="0" borderId="37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6" fillId="0" borderId="3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08" fillId="0" borderId="3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0" fillId="0" borderId="3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2" fillId="0" borderId="37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14" fillId="0" borderId="3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6" fillId="0" borderId="3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18" fillId="0" borderId="3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0" fillId="0" borderId="37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2" fillId="0" borderId="3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4" fillId="0" borderId="3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6" fillId="0" borderId="3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27" fillId="0" borderId="3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28" fillId="0" borderId="37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29" fillId="0" borderId="3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0" fillId="0" borderId="3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1" fillId="0" borderId="3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2" fillId="0" borderId="3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3" fillId="0" borderId="3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4" fillId="0" borderId="3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5" fillId="0" borderId="37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36" fillId="0" borderId="37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7" fillId="0" borderId="3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8" fillId="0" borderId="37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39" fillId="0" borderId="3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0" fillId="0" borderId="37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1" fillId="0" borderId="3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2" fillId="0" borderId="3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3" fillId="0" borderId="3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4" fillId="0" borderId="37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5" fillId="0" borderId="3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6" fillId="0" borderId="37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7" fillId="0" borderId="3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48" fillId="0" borderId="3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49" fillId="0" borderId="37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0" fillId="0" borderId="3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1" fillId="0" borderId="3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52" fillId="0" borderId="3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3" fillId="0" borderId="37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4" fillId="0" borderId="3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5" fillId="0" borderId="3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56" fillId="0" borderId="37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57" fillId="0" borderId="3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58" fillId="0" borderId="3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59" fillId="0" borderId="3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60" fillId="0" borderId="376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61" fillId="0" borderId="3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62" fillId="0" borderId="3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3" fillId="0" borderId="3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64" fillId="0" borderId="377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65" fillId="0" borderId="3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66" fillId="0" borderId="3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67" fillId="0" borderId="3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68" fillId="0" borderId="377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69" fillId="0" borderId="3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70" fillId="0" borderId="37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1" fillId="0" borderId="3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72" fillId="0" borderId="377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73" fillId="0" borderId="3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74" fillId="0" borderId="3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5" fillId="0" borderId="3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76" fillId="0" borderId="37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77" fillId="0" borderId="3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78" fillId="0" borderId="3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79" fillId="0" borderId="3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80" fillId="0" borderId="378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81" fillId="0" borderId="3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82" fillId="0" borderId="3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83" fillId="0" borderId="3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84" fillId="0" borderId="379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85" fillId="0" borderId="3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86" fillId="0" borderId="3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87" fillId="0" borderId="3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88" fillId="0" borderId="379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89" fillId="0" borderId="3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90" fillId="0" borderId="3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1" fillId="0" borderId="3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092" fillId="0" borderId="379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5093" fillId="0" borderId="37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5094" fillId="0" borderId="38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5" fillId="0" borderId="38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096" fillId="0" borderId="3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7" fillId="0" borderId="38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8" fillId="0" borderId="38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099" fillId="0" borderId="38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0" fillId="0" borderId="3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1" fillId="0" borderId="38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2" fillId="0" borderId="38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3" fillId="0" borderId="38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4" fillId="0" borderId="38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5" fillId="0" borderId="38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6" fillId="0" borderId="3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7" fillId="0" borderId="38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08" fillId="0" borderId="38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09" fillId="0" borderId="38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0" fillId="0" borderId="3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1" fillId="0" borderId="3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112" fillId="0" borderId="38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3" fillId="0" borderId="38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4" fillId="0" borderId="3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116" fillId="0" borderId="38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7" fillId="0" borderId="38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8" fillId="0" borderId="38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19" fillId="0" borderId="38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0" fillId="0" borderId="38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1" fillId="0" borderId="38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2" fillId="0" borderId="3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3" fillId="0" borderId="38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4" fillId="0" borderId="38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30" xfId="0"/>
    <xf numFmtId="0" fontId="5125" fillId="0" borderId="3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27" fillId="0" borderId="3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33" xfId="0"/>
    <xf numFmtId="0" fontId="5128" fillId="0" borderId="3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0" fillId="0" borderId="3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36" xfId="0"/>
    <xf numFmtId="0" fontId="5131" fillId="0" borderId="3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38" xfId="0"/>
    <xf numFmtId="0" fontId="5132" fillId="0" borderId="3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3" fillId="0" borderId="3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4" fillId="0" borderId="3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5" fillId="0" borderId="38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6" fillId="0" borderId="3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7" fillId="0" borderId="3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8" fillId="0" borderId="3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39" fillId="0" borderId="38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0" fillId="0" borderId="3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1" fillId="0" borderId="38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2" fillId="0" borderId="3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43" fillId="0" borderId="3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4" fillId="0" borderId="38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45" fillId="0" borderId="38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46" fillId="0" borderId="3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47" fillId="0" borderId="38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8" fillId="0" borderId="38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49" fillId="0" borderId="38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50" fillId="0" borderId="38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51" fillId="0" borderId="3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2" fillId="0" borderId="38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3" fillId="0" borderId="38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54" fillId="0" borderId="38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55" fillId="0" borderId="38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56" fillId="0" borderId="3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57" fillId="0" borderId="38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8" fillId="0" borderId="38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59" fillId="0" borderId="38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0" fillId="0" borderId="38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1" fillId="0" borderId="38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2" fillId="0" borderId="38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3" fillId="0" borderId="38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4" fillId="0" borderId="38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5" fillId="0" borderId="38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873" xfId="0"/>
    <xf numFmtId="0" fontId="0" fillId="0" borderId="3874" xfId="0"/>
    <xf numFmtId="0" fontId="5166" fillId="0" borderId="3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7" fillId="0" borderId="3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77" xfId="0"/>
    <xf numFmtId="0" fontId="0" fillId="0" borderId="3878" xfId="0"/>
    <xf numFmtId="0" fontId="5168" fillId="0" borderId="3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69" fillId="0" borderId="3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81" xfId="0"/>
    <xf numFmtId="0" fontId="0" fillId="0" borderId="3882" xfId="0"/>
    <xf numFmtId="0" fontId="5170" fillId="0" borderId="3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1" fillId="0" borderId="3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85" xfId="0"/>
    <xf numFmtId="0" fontId="0" fillId="0" borderId="3886" xfId="0"/>
    <xf numFmtId="0" fontId="5172" fillId="0" borderId="3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888" xfId="0"/>
    <xf numFmtId="0" fontId="0" fillId="0" borderId="3889" xfId="0"/>
    <xf numFmtId="166" fontId="5173" fillId="0" borderId="38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4" fillId="0" borderId="3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5" fillId="0" borderId="38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6" fillId="0" borderId="3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77" fillId="0" borderId="3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8" fillId="0" borderId="3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9" fillId="0" borderId="3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0" fillId="0" borderId="3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1" fillId="0" borderId="3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2" fillId="0" borderId="3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3" fillId="0" borderId="39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4" fillId="0" borderId="3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85" fillId="0" borderId="39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86" fillId="0" borderId="3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87" fillId="0" borderId="39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8" fillId="0" borderId="39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89" fillId="0" borderId="39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90" fillId="0" borderId="3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91" fillId="0" borderId="3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2" fillId="0" borderId="3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3" fillId="0" borderId="3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94" fillId="0" borderId="39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195" fillId="0" borderId="39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196" fillId="0" borderId="3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97" fillId="0" borderId="39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98" fillId="0" borderId="3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199" fillId="0" borderId="39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00" fillId="0" borderId="3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02" fillId="0" borderId="3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3" fillId="0" borderId="39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4" fillId="0" borderId="3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5" fillId="0" borderId="39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6" fillId="0" borderId="3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7" fillId="0" borderId="3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8" fillId="0" borderId="3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9" fillId="0" borderId="3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0" fillId="0" borderId="3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927" xfId="0"/>
    <xf numFmtId="0" fontId="5211" fillId="0" borderId="3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3" fillId="0" borderId="3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30" xfId="0"/>
    <xf numFmtId="0" fontId="5214" fillId="0" borderId="3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6" fillId="0" borderId="3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33" xfId="0"/>
    <xf numFmtId="0" fontId="5217" fillId="0" borderId="3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35" xfId="0"/>
    <xf numFmtId="0" fontId="5218" fillId="0" borderId="3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19" fillId="0" borderId="3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0" fillId="0" borderId="3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1" fillId="0" borderId="3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2" fillId="0" borderId="3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3" fillId="0" borderId="39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4" fillId="0" borderId="3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5" fillId="0" borderId="39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6" fillId="0" borderId="3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27" fillId="0" borderId="39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8" fillId="0" borderId="3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29" fillId="0" borderId="39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0" fillId="0" borderId="39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31" fillId="0" borderId="39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32" fillId="0" borderId="3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3" fillId="0" borderId="3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4" fillId="0" borderId="3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5" fillId="0" borderId="39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36" fillId="0" borderId="3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37" fillId="0" borderId="3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38" fillId="0" borderId="3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39" fillId="0" borderId="39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40" fillId="0" borderId="39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41" fillId="0" borderId="39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42" fillId="0" borderId="3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43" fillId="0" borderId="3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4" fillId="0" borderId="39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5" fillId="0" borderId="39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6" fillId="0" borderId="39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7" fillId="0" borderId="3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8" fillId="0" borderId="39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9" fillId="0" borderId="39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0" fillId="0" borderId="39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1" fillId="0" borderId="3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970" xfId="0"/>
    <xf numFmtId="0" fontId="0" fillId="0" borderId="3971" xfId="0"/>
    <xf numFmtId="0" fontId="5252" fillId="0" borderId="3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3" fillId="0" borderId="3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74" xfId="0"/>
    <xf numFmtId="0" fontId="0" fillId="0" borderId="3975" xfId="0"/>
    <xf numFmtId="0" fontId="5254" fillId="0" borderId="3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5" fillId="0" borderId="3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78" xfId="0"/>
    <xf numFmtId="0" fontId="0" fillId="0" borderId="3979" xfId="0"/>
    <xf numFmtId="0" fontId="5256" fillId="0" borderId="3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57" fillId="0" borderId="3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82" xfId="0"/>
    <xf numFmtId="0" fontId="0" fillId="0" borderId="3983" xfId="0"/>
    <xf numFmtId="0" fontId="5258" fillId="0" borderId="3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3985" xfId="0"/>
    <xf numFmtId="0" fontId="0" fillId="0" borderId="3986" xfId="0"/>
    <xf numFmtId="166" fontId="5259" fillId="0" borderId="3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0" fillId="0" borderId="3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1" fillId="0" borderId="3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2" fillId="0" borderId="3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63" fillId="0" borderId="3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4" fillId="0" borderId="3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5" fillId="0" borderId="3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6" fillId="0" borderId="3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7" fillId="0" borderId="3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8" fillId="0" borderId="3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69" fillId="0" borderId="3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0" fillId="0" borderId="399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71" fillId="0" borderId="3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72" fillId="0" borderId="4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3" fillId="0" borderId="4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4" fillId="0" borderId="4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5" fillId="0" borderId="40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76" fillId="0" borderId="4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77" fillId="0" borderId="4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78" fillId="0" borderId="4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79" fillId="0" borderId="4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0" fillId="0" borderId="40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281" fillId="0" borderId="4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282" fillId="0" borderId="4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3" fillId="0" borderId="40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4" fillId="0" borderId="4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285" fillId="0" borderId="40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6" fillId="0" borderId="4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7" fillId="0" borderId="40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88" fillId="0" borderId="4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89" fillId="0" borderId="4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0" fillId="0" borderId="40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1" fillId="0" borderId="40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92" fillId="0" borderId="4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93" fillId="0" borderId="40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4" fillId="0" borderId="40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6" fillId="0" borderId="40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7" fillId="0" borderId="40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8" fillId="0" borderId="4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99" fillId="0" borderId="40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0" fillId="0" borderId="4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1" fillId="0" borderId="40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2" fillId="0" borderId="4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3" fillId="0" borderId="40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4" fillId="0" borderId="4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032" xfId="0"/>
    <xf numFmtId="0" fontId="5305" fillId="0" borderId="4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07" fillId="0" borderId="4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35" xfId="0"/>
    <xf numFmtId="0" fontId="5308" fillId="0" borderId="4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0" fillId="0" borderId="4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38" xfId="0"/>
    <xf numFmtId="0" fontId="5311" fillId="0" borderId="4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40" xfId="0"/>
    <xf numFmtId="0" fontId="5312" fillId="0" borderId="4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3" fillId="0" borderId="4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4" fillId="0" borderId="4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5" fillId="0" borderId="40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6" fillId="0" borderId="4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7" fillId="0" borderId="40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8" fillId="0" borderId="4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19" fillId="0" borderId="40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0" fillId="0" borderId="4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1" fillId="0" borderId="40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2" fillId="0" borderId="4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23" fillId="0" borderId="40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4" fillId="0" borderId="40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25" fillId="0" borderId="40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26" fillId="0" borderId="4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27" fillId="0" borderId="40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8" fillId="0" borderId="4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29" fillId="0" borderId="4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30" fillId="0" borderId="4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31" fillId="0" borderId="4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2" fillId="0" borderId="4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3" fillId="0" borderId="40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34" fillId="0" borderId="4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35" fillId="0" borderId="40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36" fillId="0" borderId="4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37" fillId="0" borderId="4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8" fillId="0" borderId="4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39" fillId="0" borderId="4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0" fillId="0" borderId="4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1" fillId="0" borderId="40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2" fillId="0" borderId="4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3" fillId="0" borderId="40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4" fillId="0" borderId="4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5" fillId="0" borderId="4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075" xfId="0"/>
    <xf numFmtId="0" fontId="0" fillId="0" borderId="4076" xfId="0"/>
    <xf numFmtId="0" fontId="5346" fillId="0" borderId="4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7" fillId="0" borderId="4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79" xfId="0"/>
    <xf numFmtId="0" fontId="0" fillId="0" borderId="4080" xfId="0"/>
    <xf numFmtId="0" fontId="5348" fillId="0" borderId="4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49" fillId="0" borderId="4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83" xfId="0"/>
    <xf numFmtId="0" fontId="0" fillId="0" borderId="4084" xfId="0"/>
    <xf numFmtId="0" fontId="5350" fillId="0" borderId="4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1" fillId="0" borderId="4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87" xfId="0"/>
    <xf numFmtId="0" fontId="0" fillId="0" borderId="4088" xfId="0"/>
    <xf numFmtId="0" fontId="5352" fillId="0" borderId="4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4090" xfId="0"/>
    <xf numFmtId="0" fontId="0" fillId="0" borderId="4091" xfId="0"/>
    <xf numFmtId="166" fontId="5353" fillId="0" borderId="4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4" fillId="0" borderId="4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5" fillId="0" borderId="40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56" fillId="0" borderId="4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57" fillId="0" borderId="40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8" fillId="0" borderId="4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9" fillId="0" borderId="4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0" fillId="0" borderId="4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1" fillId="0" borderId="4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2" fillId="0" borderId="4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3" fillId="0" borderId="4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4" fillId="0" borderId="41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65" fillId="0" borderId="4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66" fillId="0" borderId="4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67" fillId="0" borderId="4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8" fillId="0" borderId="4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69" fillId="0" borderId="4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70" fillId="0" borderId="4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71" fillId="0" borderId="4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2" fillId="0" borderId="4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3" fillId="0" borderId="4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74" fillId="0" borderId="4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9" fontId="5375" fillId="0" borderId="4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376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77" fillId="0" borderId="4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78" fillId="0" borderId="4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379" fillId="0" borderId="4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80" fillId="0" borderId="4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1" fillId="0" borderId="4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3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4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386" fillId="0" borderId="4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8" fillId="0" borderId="4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0" fillId="0" borderId="4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2" fillId="0" borderId="4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4" fillId="0" borderId="4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6" fillId="0" borderId="4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98" fillId="0" borderId="4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0" fillId="0" borderId="4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2" fillId="0" borderId="4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4" fillId="0" borderId="4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6" fillId="0" borderId="4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8" fillId="0" borderId="4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0" fillId="0" borderId="4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2" fillId="0" borderId="4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4" fillId="0" borderId="4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6" fillId="0" borderId="4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8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20" fillId="0" borderId="4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2" fillId="0" borderId="4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4" fillId="0" borderId="4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6" fillId="0" borderId="4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8" fillId="0" borderId="4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0" fillId="0" borderId="4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2" fillId="0" borderId="4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4" fillId="0" borderId="4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6" fillId="0" borderId="4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38" fillId="0" borderId="4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0" fillId="0" borderId="4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2" fillId="0" borderId="4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4" fillId="0" borderId="4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6" fillId="0" borderId="4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48" fillId="0" borderId="4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0" fillId="0" borderId="4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2" fillId="0" borderId="4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4" fillId="0" borderId="4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6" fillId="0" borderId="4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8" fillId="0" borderId="4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0" fillId="0" borderId="4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2" fillId="0" borderId="4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4" fillId="0" borderId="4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6" fillId="0" borderId="4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68" fillId="0" borderId="4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0" fillId="0" borderId="4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2" fillId="0" borderId="4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4" fillId="0" borderId="4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76" fillId="0" borderId="4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78" fillId="0" borderId="4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0" fillId="0" borderId="4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2" fillId="0" borderId="4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4" fillId="0" borderId="4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86" fillId="0" borderId="4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8" fillId="0" borderId="4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0" fillId="0" borderId="4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2" fillId="0" borderId="4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4" fillId="0" borderId="4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6" fillId="0" borderId="4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98" fillId="0" borderId="4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0" fillId="0" borderId="41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02" fillId="0" borderId="4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04" fillId="0" borderId="4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06" fillId="0" borderId="4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08" fillId="0" borderId="41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10" fillId="0" borderId="4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12" fillId="0" borderId="4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14" fillId="0" borderId="4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6" fillId="0" borderId="4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18" fillId="0" borderId="4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0" fillId="0" borderId="4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2" fillId="0" borderId="4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4" fillId="0" borderId="4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6" fillId="0" borderId="4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8" fillId="0" borderId="4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30" fillId="0" borderId="4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2" fillId="0" borderId="4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34" fillId="0" borderId="4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36" fillId="0" borderId="4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38" fillId="0" borderId="4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0" fillId="0" borderId="42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42" fillId="0" borderId="4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44" fillId="0" borderId="4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46" fillId="0" borderId="4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48" fillId="0" borderId="4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0" fillId="0" borderId="4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2" fillId="0" borderId="4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4" fillId="0" borderId="4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6" fillId="0" borderId="4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8" fillId="0" borderId="4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0" fillId="0" borderId="4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2" fillId="0" borderId="4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64" fillId="0" borderId="4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66" fillId="0" borderId="4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68" fillId="0" borderId="4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0" fillId="0" borderId="4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72" fillId="0" borderId="4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574" fillId="0" borderId="4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576" fillId="0" borderId="4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78" fillId="0" borderId="4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0" fillId="0" borderId="4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2" fillId="0" borderId="4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4" fillId="0" borderId="42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6" fillId="0" borderId="4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88" fillId="0" borderId="4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0" fillId="0" borderId="4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2" fillId="0" borderId="4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4" fillId="0" borderId="4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6" fillId="0" borderId="4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598" fillId="0" borderId="4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0" fillId="0" borderId="4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2" fillId="0" borderId="4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4" fillId="0" borderId="4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06" fillId="0" borderId="4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08" fillId="0" borderId="4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0" fillId="0" borderId="4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2" fillId="0" borderId="4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14" fillId="0" borderId="4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6" fillId="0" borderId="4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18" fillId="0" borderId="4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0" fillId="0" borderId="4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22" fillId="0" borderId="4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4" fillId="0" borderId="4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6" fillId="0" borderId="4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8" fillId="0" borderId="4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0" fillId="0" borderId="4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2" fillId="0" borderId="4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4" fillId="0" borderId="4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6" fillId="0" borderId="4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38" fillId="0" borderId="4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0" fillId="0" borderId="4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2" fillId="0" borderId="4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4" fillId="0" borderId="4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46" fillId="0" borderId="4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8" fillId="0" borderId="4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0" fillId="0" borderId="4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2" fillId="0" borderId="4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54" fillId="0" borderId="4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6" fillId="0" borderId="4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8" fillId="0" borderId="4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0" fillId="0" borderId="4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62" fillId="0" borderId="4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4" fillId="0" borderId="4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6" fillId="0" borderId="4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68" fillId="0" borderId="4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70" fillId="0" borderId="4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2" fillId="0" borderId="4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4" fillId="0" borderId="4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6" fillId="0" borderId="4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8" fillId="0" borderId="4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0" fillId="0" borderId="4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2" fillId="0" borderId="4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4" fillId="0" borderId="4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6" fillId="0" borderId="4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88" fillId="0" borderId="42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0" fillId="0" borderId="4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2" fillId="0" borderId="4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4" fillId="0" borderId="4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6" fillId="0" borderId="42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8" fillId="0" borderId="4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0" fillId="0" borderId="4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2" fillId="0" borderId="4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4" fillId="0" borderId="4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6" fillId="0" borderId="4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8" fillId="0" borderId="4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0" fillId="0" borderId="4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2" fillId="0" borderId="4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4" fillId="0" borderId="4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6" fillId="0" borderId="4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8" fillId="0" borderId="4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0" fillId="0" borderId="4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2" fillId="0" borderId="4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4" fillId="0" borderId="4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26" fillId="0" borderId="4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8" fillId="0" borderId="4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0" fillId="0" borderId="4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2" fillId="0" borderId="4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34" fillId="0" borderId="4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6" fillId="0" borderId="4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8" fillId="0" borderId="4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0" fillId="0" borderId="4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42" fillId="0" borderId="4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4" fillId="0" borderId="4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46" fillId="0" borderId="4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8" fillId="0" borderId="4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50" fillId="0" borderId="4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52" fillId="0" borderId="4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54" fillId="0" borderId="4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56" fillId="0" borderId="4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58" fillId="0" borderId="4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760" fillId="0" borderId="4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62" fillId="0" borderId="4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64" fillId="0" borderId="4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66" fillId="0" borderId="4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768" fillId="0" borderId="4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70" fillId="0" borderId="4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2" fillId="0" borderId="4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4" fillId="0" borderId="4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6" fillId="0" borderId="4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8" fillId="0" borderId="4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0" fillId="0" borderId="4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2" fillId="0" borderId="4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4" fillId="0" borderId="4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86" fillId="0" borderId="4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88" fillId="0" borderId="4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0" fillId="0" borderId="4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792" fillId="0" borderId="4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794" fillId="0" borderId="4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96" fillId="0" borderId="4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98" fillId="0" borderId="4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800" fillId="0" borderId="4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02" fillId="0" borderId="4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4" fillId="0" borderId="4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6" fillId="0" borderId="4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8" fillId="0" borderId="4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0" fillId="0" borderId="4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2" fillId="0" borderId="43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4" fillId="0" borderId="4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6" fillId="0" borderId="4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18" fillId="0" borderId="4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0" fillId="0" borderId="4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22" fillId="0" borderId="4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824" fillId="0" borderId="4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26" fillId="0" borderId="4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28" fillId="0" borderId="4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830" fillId="0" borderId="4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832" fillId="0" borderId="4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34" fillId="0" borderId="4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6" fillId="0" borderId="4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8" fillId="0" borderId="4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0" fillId="0" borderId="4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2" fillId="0" borderId="4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4" fillId="0" borderId="4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6" fillId="0" borderId="4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8" fillId="0" borderId="4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0" fillId="0" borderId="4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2" fillId="0" borderId="4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54" fillId="0" borderId="4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6" fillId="0" borderId="4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58" fillId="0" borderId="4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0" fillId="0" borderId="4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62" fillId="0" borderId="4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4" fillId="0" borderId="4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6" fillId="0" borderId="4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68" fillId="0" borderId="4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0" fillId="0" borderId="4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2" fillId="0" borderId="4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4" fillId="0" borderId="4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6" fillId="0" borderId="4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78" fillId="0" borderId="4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0" fillId="0" borderId="4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2" fillId="0" borderId="4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4" fillId="0" borderId="4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86" fillId="0" borderId="4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88" fillId="0" borderId="4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0" fillId="0" borderId="4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2" fillId="0" borderId="4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94" fillId="0" borderId="4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6" fillId="0" borderId="4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98" fillId="0" borderId="4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0" fillId="0" borderId="4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02" fillId="0" borderId="4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4" fillId="0" borderId="4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6" fillId="0" borderId="4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8" fillId="0" borderId="4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0" fillId="0" borderId="4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2" fillId="0" borderId="4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4" fillId="0" borderId="4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16" fillId="0" borderId="4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18" fillId="0" borderId="4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0" fillId="0" borderId="4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2" fillId="0" borderId="4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24" fillId="0" borderId="4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26" fillId="0" borderId="4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28" fillId="0" borderId="4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0" fillId="0" borderId="4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2" fillId="0" borderId="4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4" fillId="0" borderId="4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6" fillId="0" borderId="4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38" fillId="0" borderId="4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0" fillId="0" borderId="4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2" fillId="0" borderId="4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4" fillId="0" borderId="4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6" fillId="0" borderId="4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8" fillId="0" borderId="4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0" fillId="0" borderId="4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2" fillId="0" borderId="4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4" fillId="0" borderId="4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6" fillId="0" borderId="4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58" fillId="0" borderId="4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0" fillId="0" borderId="4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2" fillId="0" borderId="4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4" fillId="0" borderId="4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6" fillId="0" borderId="4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68" fillId="0" borderId="4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0" fillId="0" borderId="4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2" fillId="0" borderId="4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4" fillId="0" borderId="4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6" fillId="0" borderId="4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8" fillId="0" borderId="4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0" fillId="0" borderId="4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82" fillId="0" borderId="4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4" fillId="0" borderId="4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6" fillId="0" borderId="4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8" fillId="0" borderId="4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0" fillId="0" borderId="4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2" fillId="0" borderId="4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4" fillId="0" borderId="4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96" fillId="0" borderId="4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98" fillId="0" borderId="4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0" fillId="0" borderId="4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2" fillId="0" borderId="4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4" fillId="0" borderId="4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06" fillId="0" borderId="4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08" fillId="0" borderId="4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10" fillId="0" borderId="4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12" fillId="0" borderId="4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14" fillId="0" borderId="4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16" fillId="0" borderId="4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18" fillId="0" borderId="4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20" fillId="0" borderId="4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22" fillId="0" borderId="4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24" fillId="0" borderId="4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26" fillId="0" borderId="4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28" fillId="0" borderId="4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0" fillId="0" borderId="4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2" fillId="0" borderId="4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4" fillId="0" borderId="4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6" fillId="0" borderId="4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38" fillId="0" borderId="4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0" fillId="0" borderId="4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2" fillId="0" borderId="4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44" fillId="0" borderId="4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46" fillId="0" borderId="4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48" fillId="0" borderId="4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0" fillId="0" borderId="4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52" fillId="0" borderId="4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54" fillId="0" borderId="4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56" fillId="0" borderId="4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58" fillId="0" borderId="4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0" fillId="0" borderId="4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2" fillId="0" borderId="4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4" fillId="0" borderId="4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6" fillId="0" borderId="4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68" fillId="0" borderId="4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0" fillId="0" borderId="4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2" fillId="0" borderId="4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74" fillId="0" borderId="4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76" fillId="0" borderId="44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78" fillId="0" borderId="4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80" fillId="0" borderId="4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82" fillId="0" borderId="4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84" fillId="0" borderId="44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086" fillId="0" borderId="4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088" fillId="0" borderId="4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90" fillId="0" borderId="4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2" fillId="0" borderId="4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4" fillId="0" borderId="4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6" fillId="0" borderId="4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98" fillId="0" borderId="4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0" fillId="0" borderId="4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2" fillId="0" borderId="4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4" fillId="0" borderId="4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6" fillId="0" borderId="4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08" fillId="0" borderId="4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0" fillId="0" borderId="4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2" fillId="0" borderId="4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4" fillId="0" borderId="4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6" fillId="0" borderId="4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18" fillId="0" borderId="4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0" fillId="0" borderId="4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2" fillId="0" borderId="4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4" fillId="0" borderId="4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26" fillId="0" borderId="4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8" fillId="0" borderId="4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0" fillId="0" borderId="4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2" fillId="0" borderId="4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34" fillId="0" borderId="4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6" fillId="0" borderId="4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38" fillId="0" borderId="4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0" fillId="0" borderId="4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42" fillId="0" borderId="4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4" fillId="0" borderId="4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6" fillId="0" borderId="4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48" fillId="0" borderId="4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0" fillId="0" borderId="4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2" fillId="0" borderId="4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4" fillId="0" borderId="4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6" fillId="0" borderId="4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58" fillId="0" borderId="4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0" fillId="0" borderId="4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2" fillId="0" borderId="4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4" fillId="0" borderId="4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66" fillId="0" borderId="4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8" fillId="0" borderId="4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0" fillId="0" borderId="4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72" fillId="0" borderId="4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74" fillId="0" borderId="4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6" fillId="0" borderId="4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78" fillId="0" borderId="4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80" fillId="0" borderId="4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182" fillId="0" borderId="4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4" fillId="0" borderId="4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5" fillId="0" borderId="4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86" fillId="0" borderId="4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87" fillId="0" borderId="4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88" fillId="0" borderId="4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89" fillId="0" borderId="4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0" fillId="0" borderId="4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1" fillId="0" borderId="4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2" fillId="0" borderId="4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3" fillId="0" borderId="4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4" fillId="0" borderId="4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5" fillId="0" borderId="4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6" fillId="0" borderId="4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7" fillId="0" borderId="4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8" fillId="0" borderId="4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99" fillId="0" borderId="4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0" fillId="0" borderId="4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1" fillId="0" borderId="453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02" fillId="0" borderId="4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3" fillId="0" borderId="4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4" fillId="0" borderId="4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5" fillId="0" borderId="4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6" fillId="0" borderId="4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7" fillId="0" borderId="4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8" fillId="0" borderId="45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09" fillId="0" borderId="4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0" fillId="0" borderId="45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1" fillId="0" borderId="4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2" fillId="0" borderId="4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3" fillId="0" borderId="4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4" fillId="0" borderId="45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5" fillId="0" borderId="4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6" fillId="0" borderId="45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7" fillId="0" borderId="4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8" fillId="0" borderId="45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19" fillId="0" borderId="4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0" fillId="0" borderId="45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1" fillId="0" borderId="4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2" fillId="0" borderId="45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3" fillId="0" borderId="4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4" fillId="0" borderId="4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5" fillId="0" borderId="4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6" fillId="0" borderId="4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27" fillId="0" borderId="4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8" fillId="0" borderId="45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29" fillId="0" borderId="45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0" fillId="0" borderId="4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1" fillId="0" borderId="4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2" fillId="0" borderId="45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3" fillId="0" borderId="4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4" fillId="0" borderId="4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5" fillId="0" borderId="45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6" fillId="0" borderId="4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7" fillId="0" borderId="4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38" fillId="0" borderId="45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9" fillId="0" borderId="4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40" fillId="0" borderId="4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1" fillId="0" borderId="4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42" fillId="0" borderId="458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43" fillId="0" borderId="4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44" fillId="0" borderId="45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5" fillId="0" borderId="4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46" fillId="0" borderId="458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47" fillId="0" borderId="4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48" fillId="0" borderId="45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9" fillId="0" borderId="4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0" fillId="0" borderId="45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1" fillId="0" borderId="4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2" fillId="0" borderId="45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3" fillId="0" borderId="4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4" fillId="0" borderId="45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5" fillId="0" borderId="4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6" fillId="0" borderId="45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57" fillId="0" borderId="4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58" fillId="0" borderId="45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59" fillId="0" borderId="45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60" fillId="0" borderId="4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1" fillId="0" borderId="45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62" fillId="0" borderId="460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63" fillId="0" borderId="4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64" fillId="0" borderId="46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5" fillId="0" borderId="4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6" fillId="0" borderId="46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7" fillId="0" borderId="4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8" fillId="0" borderId="46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69" fillId="0" borderId="4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0" fillId="0" borderId="46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1" fillId="0" borderId="4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2" fillId="0" borderId="46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73" fillId="0" borderId="4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74" fillId="0" borderId="46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75" fillId="0" borderId="4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76" fillId="0" borderId="46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7" fillId="0" borderId="4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278" fillId="0" borderId="46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279" fillId="0" borderId="4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280" fillId="0" borderId="46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1" fillId="0" borderId="4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2" fillId="0" borderId="4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3" fillId="0" borderId="4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4" fillId="0" borderId="46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5" fillId="0" borderId="4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6" fillId="0" borderId="4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7" fillId="0" borderId="4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8" fillId="0" borderId="46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89" fillId="0" borderId="4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0" fillId="0" borderId="46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1" fillId="0" borderId="4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2" fillId="0" borderId="4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3" fillId="0" borderId="4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4" fillId="0" borderId="4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5" fillId="0" borderId="4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6" fillId="0" borderId="4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7" fillId="0" borderId="4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98" fillId="0" borderId="4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9" fillId="0" borderId="4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0" fillId="0" borderId="4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1" fillId="0" borderId="4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2" fillId="0" borderId="46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03" fillId="0" borderId="4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4" fillId="0" borderId="46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5" fillId="0" borderId="4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6" fillId="0" borderId="46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07" fillId="0" borderId="4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8" fillId="0" borderId="46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09" fillId="0" borderId="4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0" fillId="0" borderId="46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1" fillId="0" borderId="4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2" fillId="0" borderId="4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3" fillId="0" borderId="4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4" fillId="0" borderId="4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5" fillId="0" borderId="4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6" fillId="0" borderId="4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7" fillId="0" borderId="4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18" fillId="0" borderId="4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9" fillId="0" borderId="4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0" fillId="0" borderId="4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1" fillId="0" borderId="4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22" fillId="0" borderId="46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3" fillId="0" borderId="4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4" fillId="0" borderId="46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5" fillId="0" borderId="4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26" fillId="0" borderId="46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27" fillId="0" borderId="4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8" fillId="0" borderId="46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29" fillId="0" borderId="4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0" fillId="0" borderId="4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1" fillId="0" borderId="4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2" fillId="0" borderId="4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3" fillId="0" borderId="4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4" fillId="0" borderId="46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5" fillId="0" borderId="4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6" fillId="0" borderId="4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7" fillId="0" borderId="4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8" fillId="0" borderId="4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39" fillId="0" borderId="4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0" fillId="0" borderId="4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1" fillId="0" borderId="4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2" fillId="0" borderId="4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3" fillId="0" borderId="4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4" fillId="0" borderId="4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5" fillId="0" borderId="4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6" fillId="0" borderId="4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7" fillId="0" borderId="4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8" fillId="0" borderId="4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49" fillId="0" borderId="4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0" fillId="0" borderId="4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1" fillId="0" borderId="4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2" fillId="0" borderId="4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3" fillId="0" borderId="4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4" fillId="0" borderId="46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5" fillId="0" borderId="4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6" fillId="0" borderId="4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7" fillId="0" borderId="4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58" fillId="0" borderId="4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9" fillId="0" borderId="46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0" fillId="0" borderId="46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1" fillId="0" borderId="4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2" fillId="0" borderId="47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3" fillId="0" borderId="4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4" fillId="0" borderId="4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5" fillId="0" borderId="47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6" fillId="0" borderId="4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7" fillId="0" borderId="47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68" fillId="0" borderId="4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69" fillId="0" borderId="47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70" fillId="0" borderId="470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371" fillId="0" borderId="47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372" fillId="0" borderId="47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3" fillId="0" borderId="4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74" fillId="0" borderId="47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375" fillId="0" borderId="47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376" fillId="0" borderId="4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77" fillId="0" borderId="4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78" fillId="0" borderId="47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79" fillId="0" borderId="47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0" fillId="0" borderId="47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1" fillId="0" borderId="4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2" fillId="0" borderId="4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3" fillId="0" borderId="4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4" fillId="0" borderId="47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85" fillId="0" borderId="47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86" fillId="0" borderId="472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387" fillId="0" borderId="4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388" fillId="0" borderId="47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89" fillId="0" borderId="4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390" fillId="0" borderId="472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391" fillId="0" borderId="47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392" fillId="0" borderId="47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93" fillId="0" borderId="4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4" fillId="0" borderId="47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5" fillId="0" borderId="4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6" fillId="0" borderId="47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7" fillId="0" borderId="4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8" fillId="0" borderId="47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99" fillId="0" borderId="4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00" fillId="0" borderId="47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01" fillId="0" borderId="4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402" fillId="0" borderId="47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403" fillId="0" borderId="4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404" fillId="0" borderId="47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05" fillId="0" borderId="4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406" fillId="0" borderId="474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407" fillId="0" borderId="4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408" fillId="0" borderId="47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09" fillId="0" borderId="4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0" fillId="0" borderId="47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1" fillId="0" borderId="4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2" fillId="0" borderId="47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3" fillId="0" borderId="4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4" fillId="0" borderId="47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5" fillId="0" borderId="4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6" fillId="0" borderId="47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7" fillId="0" borderId="4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18" fillId="0" borderId="47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19" fillId="0" borderId="4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0" fillId="0" borderId="47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1" fillId="0" borderId="47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2" fillId="0" borderId="47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3" fillId="0" borderId="4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4" fillId="0" borderId="47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5" fillId="0" borderId="4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6" fillId="0" borderId="4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27" fillId="0" borderId="4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8" fillId="0" borderId="47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29" fillId="0" borderId="4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0" fillId="0" borderId="47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1" fillId="0" borderId="4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2" fillId="0" borderId="4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3" fillId="0" borderId="4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4" fillId="0" borderId="4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5" fillId="0" borderId="4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6" fillId="0" borderId="4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7" fillId="0" borderId="4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38" fillId="0" borderId="47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9" fillId="0" borderId="4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0" fillId="0" borderId="4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1" fillId="0" borderId="4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2" fillId="0" borderId="47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3" fillId="0" borderId="4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4" fillId="0" borderId="47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5" fillId="0" borderId="4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6" fillId="0" borderId="47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47" fillId="0" borderId="4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8" fillId="0" borderId="47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49" fillId="0" borderId="4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450" fillId="0" borderId="47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51" fillId="0" borderId="4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2" fillId="0" borderId="47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3" fillId="0" borderId="4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454" fillId="0" borderId="4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55" fillId="0" borderId="4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6" fillId="0" borderId="4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7" fillId="0" borderId="4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8" fillId="0" borderId="47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59" fillId="0" borderId="4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0" fillId="0" borderId="4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1" fillId="0" borderId="47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2" fillId="0" borderId="48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3" fillId="0" borderId="48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4" fillId="0" borderId="48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5" fillId="0" borderId="48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6" fillId="0" borderId="48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7" fillId="0" borderId="48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8" fillId="0" borderId="48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69" fillId="0" borderId="48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0" fillId="0" borderId="4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1" fillId="0" borderId="48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2" fillId="0" borderId="4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3" fillId="0" borderId="48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4" fillId="0" borderId="48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5" fillId="0" borderId="48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6" fillId="0" borderId="48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7" fillId="0" borderId="48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8" fillId="0" borderId="48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79" fillId="0" borderId="4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0" fillId="0" borderId="48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1" fillId="0" borderId="48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2" fillId="0" borderId="48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83" fillId="0" borderId="48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4" fillId="0" borderId="48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5" fillId="0" borderId="48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6" fillId="0" borderId="48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87" fillId="0" borderId="48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8" fillId="0" borderId="48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89" fillId="0" borderId="48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0" fillId="0" borderId="48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1" fillId="0" borderId="48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2" fillId="0" borderId="48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3" fillId="0" borderId="48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4" fillId="0" borderId="48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5" fillId="0" borderId="48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496" fillId="0" borderId="48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97" fillId="0" borderId="48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498" fillId="0" borderId="48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499" fillId="0" borderId="48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00" fillId="0" borderId="48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1" fillId="0" borderId="48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02" fillId="0" borderId="48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503" fillId="0" borderId="48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04" fillId="0" borderId="48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05" fillId="0" borderId="48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6" fillId="0" borderId="48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7" fillId="0" borderId="48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8" fillId="0" borderId="48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09" fillId="0" borderId="48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0" fillId="0" borderId="48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1" fillId="0" borderId="48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2" fillId="0" borderId="48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13" fillId="0" borderId="48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14" fillId="0" borderId="485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515" fillId="0" borderId="48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16" fillId="0" borderId="48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17" fillId="0" borderId="48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18" fillId="0" borderId="48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519" fillId="0" borderId="48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20" fillId="0" borderId="48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21" fillId="0" borderId="48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2" fillId="0" borderId="48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3" fillId="0" borderId="48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4" fillId="0" borderId="48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5" fillId="0" borderId="48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6" fillId="0" borderId="48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7" fillId="0" borderId="48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8" fillId="0" borderId="48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29" fillId="0" borderId="48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30" fillId="0" borderId="486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531" fillId="0" borderId="48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32" fillId="0" borderId="48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3" fillId="0" borderId="48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34" fillId="0" borderId="487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6535" fillId="0" borderId="48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6536" fillId="0" borderId="48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37" fillId="0" borderId="48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38" fillId="0" borderId="48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39" fillId="0" borderId="48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0" fillId="0" borderId="48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1" fillId="0" borderId="48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2" fillId="0" borderId="48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3" fillId="0" borderId="48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4" fillId="0" borderId="48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5" fillId="0" borderId="48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6" fillId="0" borderId="48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47" fillId="0" borderId="48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8" fillId="0" borderId="48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49" fillId="0" borderId="48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0" fillId="0" borderId="48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1" fillId="0" borderId="48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2" fillId="0" borderId="48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3" fillId="0" borderId="48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4" fillId="0" borderId="48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5" fillId="0" borderId="48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6" fillId="0" borderId="48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7" fillId="0" borderId="48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58" fillId="0" borderId="48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9" fillId="0" borderId="48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0" fillId="0" borderId="48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1" fillId="0" borderId="48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2" fillId="0" borderId="49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3" fillId="0" borderId="49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4" fillId="0" borderId="49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5" fillId="0" borderId="49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6" fillId="0" borderId="49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67" fillId="0" borderId="49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8" fillId="0" borderId="49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69" fillId="0" borderId="49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0" fillId="0" borderId="49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1" fillId="0" borderId="49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2" fillId="0" borderId="49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3" fillId="0" borderId="49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4" fillId="0" borderId="49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5" fillId="0" borderId="49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6" fillId="0" borderId="49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77" fillId="0" borderId="49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78" fillId="0" borderId="49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79" fillId="0" borderId="49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0" fillId="0" borderId="49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1" fillId="0" borderId="49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6582" fillId="0" borderId="49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83" fillId="0" borderId="49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4" fillId="0" borderId="49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586" fillId="0" borderId="4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24" xfId="0"/>
    <xf numFmtId="0" fontId="0" fillId="0" borderId="4925" xfId="0" applyBorder="true"/>
    <xf numFmtId="0" fontId="0" fillId="0" borderId="4926" xfId="0"/>
    <xf numFmtId="0" fontId="6588" fillId="0" borderId="4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28" xfId="0"/>
    <xf numFmtId="0" fontId="0" fillId="0" borderId="4929" xfId="0"/>
    <xf numFmtId="0" fontId="0" fillId="0" borderId="4930" xfId="0" applyBorder="true"/>
    <xf numFmtId="0" fontId="6589" fillId="0" borderId="49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0" fillId="0" borderId="49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1" fillId="0" borderId="49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34" xfId="0" applyBorder="true"/>
    <xf numFmtId="0" fontId="0" fillId="0" borderId="4935" xfId="0"/>
    <xf numFmtId="0" fontId="0" fillId="0" borderId="4936" xfId="0"/>
    <xf numFmtId="0" fontId="0" fillId="0" borderId="4937" xfId="0"/>
    <xf numFmtId="0" fontId="0" fillId="0" borderId="4938" xfId="0"/>
    <xf numFmtId="0" fontId="0" fillId="0" borderId="4939" xfId="0"/>
    <xf numFmtId="0" fontId="0" fillId="0" borderId="4940" xfId="0"/>
    <xf numFmtId="0" fontId="0" fillId="0" borderId="4941" xfId="0" applyBorder="true"/>
    <xf numFmtId="0" fontId="6593" fillId="0" borderId="49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43" xfId="0"/>
    <xf numFmtId="0" fontId="0" fillId="0" borderId="4944" xfId="0" applyBorder="true"/>
    <xf numFmtId="0" fontId="0" fillId="0" borderId="4945" xfId="0"/>
    <xf numFmtId="0" fontId="6595" fillId="0" borderId="4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47" xfId="0"/>
    <xf numFmtId="0" fontId="0" fillId="0" borderId="4948" xfId="0"/>
    <xf numFmtId="0" fontId="0" fillId="0" borderId="4949" xfId="0" applyBorder="true"/>
    <xf numFmtId="0" fontId="6596" fillId="0" borderId="4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7" fillId="0" borderId="49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8" fillId="0" borderId="4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53" xfId="0" applyBorder="true"/>
    <xf numFmtId="0" fontId="0" fillId="0" borderId="4954" xfId="0"/>
    <xf numFmtId="0" fontId="0" fillId="0" borderId="4955" xfId="0"/>
    <xf numFmtId="0" fontId="0" fillId="0" borderId="4956" xfId="0"/>
    <xf numFmtId="0" fontId="0" fillId="0" borderId="4957" xfId="0"/>
    <xf numFmtId="0" fontId="0" fillId="0" borderId="4958" xfId="0"/>
    <xf numFmtId="0" fontId="0" fillId="0" borderId="4959" xfId="0"/>
    <xf numFmtId="0" fontId="0" fillId="0" borderId="4960" xfId="0" applyBorder="true"/>
    <xf numFmtId="0" fontId="6600" fillId="0" borderId="49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62" xfId="0"/>
    <xf numFmtId="0" fontId="0" fillId="0" borderId="4963" xfId="0" applyBorder="true"/>
    <xf numFmtId="0" fontId="0" fillId="0" borderId="4964" xfId="0"/>
    <xf numFmtId="0" fontId="6602" fillId="0" borderId="49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66" xfId="0"/>
    <xf numFmtId="0" fontId="0" fillId="0" borderId="4967" xfId="0"/>
    <xf numFmtId="0" fontId="0" fillId="0" borderId="4968" xfId="0" applyBorder="true"/>
    <xf numFmtId="0" fontId="6603" fillId="0" borderId="4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4" fillId="0" borderId="4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5" fillId="0" borderId="4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72" xfId="0" applyBorder="true"/>
    <xf numFmtId="0" fontId="0" fillId="0" borderId="4973" xfId="0"/>
    <xf numFmtId="0" fontId="0" fillId="0" borderId="4974" xfId="0"/>
    <xf numFmtId="0" fontId="0" fillId="0" borderId="4975" xfId="0"/>
    <xf numFmtId="0" fontId="0" fillId="0" borderId="4976" xfId="0"/>
    <xf numFmtId="0" fontId="0" fillId="0" borderId="4977" xfId="0"/>
    <xf numFmtId="0" fontId="0" fillId="0" borderId="4978" xfId="0"/>
    <xf numFmtId="0" fontId="0" fillId="0" borderId="4979" xfId="0" applyBorder="true"/>
    <xf numFmtId="0" fontId="6607" fillId="0" borderId="4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81" xfId="0"/>
    <xf numFmtId="0" fontId="0" fillId="0" borderId="4982" xfId="0" applyBorder="true"/>
    <xf numFmtId="0" fontId="0" fillId="0" borderId="4983" xfId="0"/>
    <xf numFmtId="0" fontId="6609" fillId="0" borderId="4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85" xfId="0"/>
    <xf numFmtId="0" fontId="0" fillId="0" borderId="4986" xfId="0" applyBorder="true"/>
    <xf numFmtId="0" fontId="6610" fillId="0" borderId="4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1" fillId="0" borderId="4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2" fillId="0" borderId="4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4990" xfId="0" applyBorder="true"/>
    <xf numFmtId="0" fontId="0" fillId="0" borderId="4991" xfId="0"/>
    <xf numFmtId="0" fontId="0" fillId="0" borderId="4992" xfId="0"/>
    <xf numFmtId="0" fontId="0" fillId="0" borderId="4993" xfId="0"/>
    <xf numFmtId="0" fontId="0" fillId="0" borderId="4994" xfId="0"/>
    <xf numFmtId="0" fontId="0" fillId="0" borderId="4995" xfId="0"/>
    <xf numFmtId="0" fontId="0" fillId="0" borderId="4996" xfId="0"/>
    <xf numFmtId="0" fontId="0" fillId="0" borderId="4997" xfId="0" applyBorder="true"/>
    <xf numFmtId="0" fontId="0" fillId="0" borderId="4998" xfId="0"/>
    <xf numFmtId="0" fontId="6613" fillId="0" borderId="4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5" fillId="0" borderId="5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6" fillId="0" borderId="5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7" fillId="0" borderId="5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8" fillId="0" borderId="5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19" fillId="0" borderId="5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0" fillId="0" borderId="5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1" fillId="0" borderId="5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2" fillId="0" borderId="5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3" fillId="0" borderId="5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4" fillId="0" borderId="5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5" fillId="0" borderId="5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6" fillId="0" borderId="5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7" fillId="0" borderId="5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8" fillId="0" borderId="5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9" fillId="0" borderId="5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0" fillId="0" borderId="5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1" fillId="0" borderId="5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2" fillId="0" borderId="5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3" fillId="0" borderId="5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4" fillId="0" borderId="5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5" fillId="0" borderId="5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6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7" fillId="0" borderId="5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8" fillId="0" borderId="5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9" fillId="0" borderId="5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0" fillId="0" borderId="5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1" fillId="0" borderId="5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2" fillId="0" borderId="5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3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4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5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6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7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8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9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0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1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2" fillId="0" borderId="5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3" fillId="0" borderId="5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4" fillId="0" borderId="5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5" fillId="0" borderId="5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6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7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8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59" fillId="0" borderId="5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0" fillId="0" borderId="5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1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2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3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4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5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6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7" fillId="0" borderId="5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8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9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0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1" fillId="0" borderId="5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672" fillId="0" borderId="5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3" fillId="0" borderId="50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4" fillId="0" borderId="5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5" fillId="0" borderId="50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76" fillId="0" borderId="50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7" fillId="0" borderId="5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8" fillId="0" borderId="50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79" fillId="0" borderId="50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0" fillId="0" borderId="5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1" fillId="0" borderId="50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2" fillId="0" borderId="5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3" fillId="0" borderId="50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4" fillId="0" borderId="50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5" fillId="0" borderId="5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6" fillId="0" borderId="50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7" fillId="0" borderId="50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88" fillId="0" borderId="5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89" fillId="0" borderId="50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0" fillId="0" borderId="50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1" fillId="0" borderId="50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2" fillId="0" borderId="50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3" fillId="0" borderId="50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4" fillId="0" borderId="50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5" fillId="0" borderId="50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696" fillId="0" borderId="5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7" fillId="0" borderId="50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8" fillId="0" borderId="50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99" fillId="0" borderId="50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00" fillId="0" borderId="50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1" fillId="0" borderId="50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2" fillId="0" borderId="50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703" fillId="0" borderId="50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704" fillId="0" borderId="5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5" fillId="0" borderId="50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6" fillId="0" borderId="50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7" fillId="0" borderId="50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08" fillId="0" borderId="5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09" fillId="0" borderId="5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0" fillId="0" borderId="5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1" fillId="0" borderId="5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2" fillId="0" borderId="5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13" fillId="0" borderId="50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14" fillId="0" borderId="50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15" fillId="0" borderId="5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16" fillId="0" borderId="5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7" fillId="0" borderId="5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8" fillId="0" borderId="5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19" fillId="0" borderId="5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20" fillId="0" borderId="5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1" fillId="0" borderId="5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2" fillId="0" borderId="5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3" fillId="0" borderId="5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4" fillId="0" borderId="5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25" fillId="0" borderId="5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26" fillId="0" borderId="5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27" fillId="0" borderId="5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28" fillId="0" borderId="5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29" fillId="0" borderId="5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30" fillId="0" borderId="5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31" fillId="0" borderId="5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32" fillId="0" borderId="5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33" fillId="0" borderId="5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34" fillId="0" borderId="5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735" fillId="0" borderId="5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36" fillId="0" borderId="5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7" fillId="0" borderId="5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38" fillId="0" borderId="5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39" fillId="0" borderId="5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40" fillId="0" borderId="5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1" fillId="0" borderId="5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42" fillId="0" borderId="5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43" fillId="0" borderId="5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5" fillId="0" borderId="5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7" fillId="0" borderId="5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9" fillId="0" borderId="5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1" fillId="0" borderId="5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53" fillId="0" borderId="5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55" fillId="0" borderId="51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57" fillId="0" borderId="5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59" fillId="0" borderId="5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1" fillId="0" borderId="5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63" fillId="0" borderId="5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65" fillId="0" borderId="5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67" fillId="0" borderId="5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9" fillId="0" borderId="5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1" fillId="0" borderId="5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73" fillId="0" borderId="5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75" fillId="0" borderId="5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77" fillId="0" borderId="5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79" fillId="0" borderId="5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1" fillId="0" borderId="5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83" fillId="0" borderId="5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5" fillId="0" borderId="5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87" fillId="0" borderId="5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89" fillId="0" borderId="5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91" fillId="0" borderId="5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93" fillId="0" borderId="5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95" fillId="0" borderId="5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797" fillId="0" borderId="5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799" fillId="0" borderId="5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1" fillId="0" borderId="5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3" fillId="0" borderId="5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05" fillId="0" borderId="5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07" fillId="0" borderId="5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09" fillId="0" borderId="5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1" fillId="0" borderId="5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813" fillId="0" borderId="5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815" fillId="0" borderId="5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17" fillId="0" borderId="5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19" fillId="0" borderId="5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1" fillId="0" borderId="5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3" fillId="0" borderId="5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5" fillId="0" borderId="5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7" fillId="0" borderId="5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9" fillId="0" borderId="5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1" fillId="0" borderId="5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3" fillId="0" borderId="5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5" fillId="0" borderId="5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7" fillId="0" borderId="5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39" fillId="0" borderId="5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1" fillId="0" borderId="5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3" fillId="0" borderId="5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5" fillId="0" borderId="5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7" fillId="0" borderId="5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49" fillId="0" borderId="5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1" fillId="0" borderId="5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3" fillId="0" borderId="5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5" fillId="0" borderId="5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57" fillId="0" borderId="5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59" fillId="0" borderId="5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1" fillId="0" borderId="5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3" fillId="0" borderId="5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5" fillId="0" borderId="5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7" fillId="0" borderId="5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69" fillId="0" borderId="5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1" fillId="0" borderId="5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3" fillId="0" borderId="5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5" fillId="0" borderId="5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7" fillId="0" borderId="5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79" fillId="0" borderId="5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1" fillId="0" borderId="5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3" fillId="0" borderId="5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5" fillId="0" borderId="51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7" fillId="0" borderId="52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89" fillId="0" borderId="5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1" fillId="0" borderId="5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3" fillId="0" borderId="5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5" fillId="0" borderId="5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7" fillId="0" borderId="5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99" fillId="0" borderId="5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1" fillId="0" borderId="52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3" fillId="0" borderId="52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5" fillId="0" borderId="5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7" fillId="0" borderId="5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09" fillId="0" borderId="52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1" fillId="0" borderId="5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3" fillId="0" borderId="5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5" fillId="0" borderId="5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7" fillId="0" borderId="52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19" fillId="0" borderId="5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1" fillId="0" borderId="5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3" fillId="0" borderId="5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25" fillId="0" borderId="5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7" fillId="0" borderId="5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29" fillId="0" borderId="52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1" fillId="0" borderId="5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3" fillId="0" borderId="5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5" fillId="0" borderId="5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37" fillId="0" borderId="5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39" fillId="0" borderId="5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1" fillId="0" borderId="5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3" fillId="0" borderId="5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45" fillId="0" borderId="5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7" fillId="0" borderId="5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9" fillId="0" borderId="5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1" fillId="0" borderId="5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3" fillId="0" borderId="5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5" fillId="0" borderId="5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57" fillId="0" borderId="5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59" fillId="0" borderId="5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1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3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65" fillId="0" borderId="5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7" fillId="0" borderId="5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9" fillId="0" borderId="5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71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3" fillId="0" borderId="5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5" fillId="0" borderId="5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77" fillId="0" borderId="5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79" fillId="0" borderId="5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81" fillId="0" borderId="5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83" fillId="0" borderId="5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85" fillId="0" borderId="5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7" fillId="0" borderId="5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89" fillId="0" borderId="5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1" fillId="0" borderId="5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6993" fillId="0" borderId="5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995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97" fillId="0" borderId="5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99" fillId="0" borderId="5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01" fillId="0" borderId="5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03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05" fillId="0" borderId="5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7" fillId="0" borderId="5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09" fillId="0" borderId="5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1" fillId="0" borderId="52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13" fillId="0" borderId="5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15" fillId="0" borderId="5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17" fillId="0" borderId="5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19" fillId="0" borderId="52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21" fillId="0" borderId="5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23" fillId="0" borderId="5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25" fillId="0" borderId="5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7" fillId="0" borderId="52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29" fillId="0" borderId="52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1" fillId="0" borderId="52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33" fillId="0" borderId="5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35" fillId="0" borderId="5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37" fillId="0" borderId="52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39" fillId="0" borderId="52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41" fillId="0" borderId="5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43" fillId="0" borderId="5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45" fillId="0" borderId="52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7" fillId="0" borderId="5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9" fillId="0" borderId="5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51" fillId="0" borderId="5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053" fillId="0" borderId="5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055" fillId="0" borderId="5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57" fillId="0" borderId="5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59" fillId="0" borderId="5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61" fillId="0" borderId="5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3" fillId="0" borderId="5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5" fillId="0" borderId="5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7" fillId="0" borderId="5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69" fillId="0" borderId="5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1" fillId="0" borderId="5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73" fillId="0" borderId="5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5" fillId="0" borderId="5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7" fillId="0" borderId="5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79" fillId="0" borderId="5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81" fillId="0" borderId="5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3" fillId="0" borderId="5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5" fillId="0" borderId="5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7" fillId="0" borderId="5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89" fillId="0" borderId="5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1" fillId="0" borderId="5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093" fillId="0" borderId="5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5" fillId="0" borderId="5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7" fillId="0" borderId="5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99" fillId="0" borderId="5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01" fillId="0" borderId="5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3" fillId="0" borderId="5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5" fillId="0" borderId="5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7" fillId="0" borderId="5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09" fillId="0" borderId="5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1" fillId="0" borderId="5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13" fillId="0" borderId="5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5" fillId="0" borderId="5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7" fillId="0" borderId="5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19" fillId="0" borderId="5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21" fillId="0" borderId="5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3" fillId="0" borderId="5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5" fillId="0" borderId="5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7" fillId="0" borderId="5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29" fillId="0" borderId="5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1" fillId="0" borderId="5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33" fillId="0" borderId="5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5" fillId="0" borderId="5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7" fillId="0" borderId="5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39" fillId="0" borderId="5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41" fillId="0" borderId="5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3" fillId="0" borderId="5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5" fillId="0" borderId="5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7" fillId="0" borderId="5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9" fillId="0" borderId="5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1" fillId="0" borderId="5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53" fillId="0" borderId="53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5" fillId="0" borderId="5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57" fillId="0" borderId="5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59" fillId="0" borderId="5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61" fillId="0" borderId="5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3" fillId="0" borderId="5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5" fillId="0" borderId="5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7" fillId="0" borderId="53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9" fillId="0" borderId="53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71" fillId="0" borderId="5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173" fillId="0" borderId="5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5" fillId="0" borderId="5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7" fillId="0" borderId="53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79" fillId="0" borderId="5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1" fillId="0" borderId="5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3" fillId="0" borderId="5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5" fillId="0" borderId="5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7" fillId="0" borderId="5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9" fillId="0" borderId="5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1" fillId="0" borderId="5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3" fillId="0" borderId="5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5" fillId="0" borderId="5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7" fillId="0" borderId="5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99" fillId="0" borderId="5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1" fillId="0" borderId="5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3" fillId="0" borderId="5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5" fillId="0" borderId="5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7" fillId="0" borderId="5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9" fillId="0" borderId="5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1" fillId="0" borderId="5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3" fillId="0" borderId="5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5" fillId="0" borderId="5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7" fillId="0" borderId="5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19" fillId="0" borderId="5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1" fillId="0" borderId="5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3" fillId="0" borderId="5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25" fillId="0" borderId="5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7" fillId="0" borderId="5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9" fillId="0" borderId="5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1" fillId="0" borderId="5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33" fillId="0" borderId="5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35" fillId="0" borderId="5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37" fillId="0" borderId="5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39" fillId="0" borderId="5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1" fillId="0" borderId="5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3" fillId="0" borderId="5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45" fillId="0" borderId="5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7" fillId="0" borderId="5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9" fillId="0" borderId="5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1" fillId="0" borderId="5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3" fillId="0" borderId="5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5" fillId="0" borderId="5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57" fillId="0" borderId="5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59" fillId="0" borderId="5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1" fillId="0" borderId="5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3" fillId="0" borderId="5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65" fillId="0" borderId="5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7" fillId="0" borderId="5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9" fillId="0" borderId="5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71" fillId="0" borderId="5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3" fillId="0" borderId="5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5" fillId="0" borderId="5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77" fillId="0" borderId="5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79" fillId="0" borderId="5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81" fillId="0" borderId="5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83" fillId="0" borderId="5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85" fillId="0" borderId="5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7" fillId="0" borderId="5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9" fillId="0" borderId="5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1" fillId="0" borderId="5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293" fillId="0" borderId="5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295" fillId="0" borderId="5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297" fillId="0" borderId="5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99" fillId="0" borderId="5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01" fillId="0" borderId="5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03" fillId="0" borderId="5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05" fillId="0" borderId="5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7" fillId="0" borderId="5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9" fillId="0" borderId="5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1" fillId="0" borderId="54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13" fillId="0" borderId="5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15" fillId="0" borderId="5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17" fillId="0" borderId="5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19" fillId="0" borderId="54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21" fillId="0" borderId="5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23" fillId="0" borderId="5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25" fillId="0" borderId="5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7" fillId="0" borderId="5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9" fillId="0" borderId="5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1" fillId="0" borderId="54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33" fillId="0" borderId="5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35" fillId="0" borderId="5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37" fillId="0" borderId="54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39" fillId="0" borderId="5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41" fillId="0" borderId="5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43" fillId="0" borderId="5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45" fillId="0" borderId="5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7" fillId="0" borderId="5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9" fillId="0" borderId="5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51" fillId="0" borderId="5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353" fillId="0" borderId="5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355" fillId="0" borderId="5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57" fillId="0" borderId="5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59" fillId="0" borderId="5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61" fillId="0" borderId="5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3" fillId="0" borderId="5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5" fillId="0" borderId="5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7" fillId="0" borderId="5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9" fillId="0" borderId="5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1" fillId="0" borderId="5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73" fillId="0" borderId="5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5" fillId="0" borderId="5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7" fillId="0" borderId="5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79" fillId="0" borderId="5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81" fillId="0" borderId="5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3" fillId="0" borderId="5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5" fillId="0" borderId="5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7" fillId="0" borderId="5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9" fillId="0" borderId="5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1" fillId="0" borderId="5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393" fillId="0" borderId="5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5" fillId="0" borderId="5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7" fillId="0" borderId="5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99" fillId="0" borderId="5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01" fillId="0" borderId="5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3" fillId="0" borderId="5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5" fillId="0" borderId="5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7" fillId="0" borderId="5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9" fillId="0" borderId="5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1" fillId="0" borderId="5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13" fillId="0" borderId="5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5" fillId="0" borderId="5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7" fillId="0" borderId="5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19" fillId="0" borderId="5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21" fillId="0" borderId="5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3" fillId="0" borderId="5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5" fillId="0" borderId="5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7" fillId="0" borderId="5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9" fillId="0" borderId="5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1" fillId="0" borderId="5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33" fillId="0" borderId="5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5" fillId="0" borderId="5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7" fillId="0" borderId="5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39" fillId="0" borderId="5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41" fillId="0" borderId="5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3" fillId="0" borderId="5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5" fillId="0" borderId="5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7" fillId="0" borderId="5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9" fillId="0" borderId="5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1" fillId="0" borderId="5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53" fillId="0" borderId="5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5" fillId="0" borderId="5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57" fillId="0" borderId="5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59" fillId="0" borderId="5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61" fillId="0" borderId="5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3" fillId="0" borderId="5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5" fillId="0" borderId="5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7" fillId="0" borderId="5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9" fillId="0" borderId="5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71" fillId="0" borderId="5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473" fillId="0" borderId="5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5" fillId="0" borderId="5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76" fillId="0" borderId="54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7" fillId="0" borderId="5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8" fillId="0" borderId="54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79" fillId="0" borderId="54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0" fillId="0" borderId="5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1" fillId="0" borderId="55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2" fillId="0" borderId="55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3" fillId="0" borderId="5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4" fillId="0" borderId="5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5" fillId="0" borderId="55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6" fillId="0" borderId="55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7" fillId="0" borderId="55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8" fillId="0" borderId="5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89" fillId="0" borderId="55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0" fillId="0" borderId="55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1" fillId="0" borderId="55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2" fillId="0" borderId="5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3" fillId="0" borderId="55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4" fillId="0" borderId="5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5" fillId="0" borderId="55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6" fillId="0" borderId="55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97" fillId="0" borderId="55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8" fillId="0" borderId="5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499" fillId="0" borderId="55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0" fillId="0" borderId="5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1" fillId="0" borderId="55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2" fillId="0" borderId="5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3" fillId="0" borderId="552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4" fillId="0" borderId="5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5" fillId="0" borderId="55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6" fillId="0" borderId="5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7" fillId="0" borderId="552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8" fillId="0" borderId="5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09" fillId="0" borderId="55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0" fillId="0" borderId="5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1" fillId="0" borderId="55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2" fillId="0" borderId="5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3" fillId="0" borderId="553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4" fillId="0" borderId="5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5" fillId="0" borderId="55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6" fillId="0" borderId="5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7" fillId="0" borderId="553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8" fillId="0" borderId="5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19" fillId="0" borderId="55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0" fillId="0" borderId="5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1" fillId="0" borderId="55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2" fillId="0" borderId="5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3" fillId="0" borderId="554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4" fillId="0" borderId="5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5" fillId="0" borderId="55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6" fillId="0" borderId="5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27" fillId="0" borderId="55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8" fillId="0" borderId="55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9" fillId="0" borderId="5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0" fillId="0" borderId="5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1" fillId="0" borderId="5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2" fillId="0" borderId="5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3" fillId="0" borderId="5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4" fillId="0" borderId="55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5" fillId="0" borderId="55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6" fillId="0" borderId="5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37" fillId="0" borderId="5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8" fillId="0" borderId="55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39" fillId="0" borderId="55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0" fillId="0" borderId="5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1" fillId="0" borderId="55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2" fillId="0" borderId="5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3" fillId="0" borderId="5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4" fillId="0" borderId="5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5" fillId="0" borderId="5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6" fillId="0" borderId="5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47" fillId="0" borderId="55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8" fillId="0" borderId="55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49" fillId="0" borderId="55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0" fillId="0" borderId="55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1" fillId="0" borderId="55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2" fillId="0" borderId="55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53" fillId="0" borderId="55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4" fillId="0" borderId="55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5" fillId="0" borderId="55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56" fillId="0" borderId="55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57" fillId="0" borderId="557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58" fillId="0" borderId="55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59" fillId="0" borderId="55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0" fillId="0" borderId="55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1" fillId="0" borderId="55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62" fillId="0" borderId="55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63" fillId="0" borderId="558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64" fillId="0" borderId="55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65" fillId="0" borderId="558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66" fillId="0" borderId="55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67" fillId="0" borderId="558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68" fillId="0" borderId="55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69" fillId="0" borderId="55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0" fillId="0" borderId="55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1" fillId="0" borderId="55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72" fillId="0" borderId="55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73" fillId="0" borderId="559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74" fillId="0" borderId="55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75" fillId="0" borderId="55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76" fillId="0" borderId="55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77" fillId="0" borderId="559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78" fillId="0" borderId="55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79" fillId="0" borderId="55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0" fillId="0" borderId="55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1" fillId="0" borderId="56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82" fillId="0" borderId="56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83" fillId="0" borderId="560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84" fillId="0" borderId="56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85" fillId="0" borderId="56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86" fillId="0" borderId="56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87" fillId="0" borderId="560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88" fillId="0" borderId="56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89" fillId="0" borderId="56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0" fillId="0" borderId="56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1" fillId="0" borderId="56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2" fillId="0" borderId="56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593" fillId="0" borderId="56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594" fillId="0" borderId="56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595" fillId="0" borderId="56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6" fillId="0" borderId="56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7" fillId="0" borderId="56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98" fillId="0" borderId="56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599" fillId="0" borderId="56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0" fillId="0" borderId="56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1" fillId="0" borderId="56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2" fillId="0" borderId="56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3" fillId="0" borderId="56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4" fillId="0" borderId="56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5" fillId="0" borderId="56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6" fillId="0" borderId="56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7" fillId="0" borderId="56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08" fillId="0" borderId="56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09" fillId="0" borderId="562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0" fillId="0" borderId="56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1" fillId="0" borderId="56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2" fillId="0" borderId="56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3" fillId="0" borderId="56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4" fillId="0" borderId="56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5" fillId="0" borderId="563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6" fillId="0" borderId="56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7" fillId="0" borderId="56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18" fillId="0" borderId="56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19" fillId="0" borderId="563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0" fillId="0" borderId="56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1" fillId="0" borderId="56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2" fillId="0" borderId="56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3" fillId="0" borderId="56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4" fillId="0" borderId="56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5" fillId="0" borderId="564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6" fillId="0" borderId="56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7" fillId="0" borderId="56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28" fillId="0" borderId="56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29" fillId="0" borderId="56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0" fillId="0" borderId="56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1" fillId="0" borderId="56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2" fillId="0" borderId="56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3" fillId="0" borderId="56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4" fillId="0" borderId="56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5" fillId="0" borderId="56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6" fillId="0" borderId="56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7" fillId="0" borderId="56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38" fillId="0" borderId="56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39" fillId="0" borderId="56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0" fillId="0" borderId="56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1" fillId="0" borderId="56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2" fillId="0" borderId="56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3" fillId="0" borderId="56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4" fillId="0" borderId="56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5" fillId="0" borderId="56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6" fillId="0" borderId="56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47" fillId="0" borderId="56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48" fillId="0" borderId="56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49" fillId="0" borderId="56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0" fillId="0" borderId="56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1" fillId="0" borderId="56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2" fillId="0" borderId="56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653" fillId="0" borderId="56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54" fillId="0" borderId="56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5" fillId="0" borderId="56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6" fillId="0" borderId="56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7" fillId="0" borderId="56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8" fillId="0" borderId="56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59" fillId="0" borderId="56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0" fillId="0" borderId="56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1" fillId="0" borderId="56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2" fillId="0" borderId="56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3" fillId="0" borderId="56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4" fillId="0" borderId="56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5" fillId="0" borderId="56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6" fillId="0" borderId="56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7" fillId="0" borderId="56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8" fillId="0" borderId="56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69" fillId="0" borderId="56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0" fillId="0" borderId="56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1" fillId="0" borderId="56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2" fillId="0" borderId="56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3" fillId="0" borderId="56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4" fillId="0" borderId="56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5" fillId="0" borderId="56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6" fillId="0" borderId="56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77" fillId="0" borderId="56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8" fillId="0" borderId="56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79" fillId="0" borderId="56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0" fillId="0" borderId="56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1" fillId="0" borderId="57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2" fillId="0" borderId="57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3" fillId="0" borderId="57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4" fillId="0" borderId="57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5" fillId="0" borderId="57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6" fillId="0" borderId="57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87" fillId="0" borderId="57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8" fillId="0" borderId="57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89" fillId="0" borderId="57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0" fillId="0" borderId="57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1" fillId="0" borderId="57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2" fillId="0" borderId="57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3" fillId="0" borderId="57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4" fillId="0" borderId="57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5" fillId="0" borderId="57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6" fillId="0" borderId="57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697" fillId="0" borderId="57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8" fillId="0" borderId="57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699" fillId="0" borderId="57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0" fillId="0" borderId="57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1" fillId="0" borderId="57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2" fillId="0" borderId="57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03" fillId="0" borderId="57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4" fillId="0" borderId="57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5" fillId="0" borderId="57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06" fillId="0" borderId="57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07" fillId="0" borderId="572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08" fillId="0" borderId="57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09" fillId="0" borderId="57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0" fillId="0" borderId="57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1" fillId="0" borderId="573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12" fillId="0" borderId="57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13" fillId="0" borderId="573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14" fillId="0" borderId="57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15" fillId="0" borderId="57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16" fillId="0" borderId="57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17" fillId="0" borderId="57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18" fillId="0" borderId="57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19" fillId="0" borderId="57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0" fillId="0" borderId="57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1" fillId="0" borderId="574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22" fillId="0" borderId="57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23" fillId="0" borderId="57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24" fillId="0" borderId="57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25" fillId="0" borderId="57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26" fillId="0" borderId="57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27" fillId="0" borderId="57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28" fillId="0" borderId="57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29" fillId="0" borderId="57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0" fillId="0" borderId="57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1" fillId="0" borderId="57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32" fillId="0" borderId="57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33" fillId="0" borderId="575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34" fillId="0" borderId="57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35" fillId="0" borderId="57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36" fillId="0" borderId="57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37" fillId="0" borderId="575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38" fillId="0" borderId="57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39" fillId="0" borderId="57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0" fillId="0" borderId="57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1" fillId="0" borderId="57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2" fillId="0" borderId="57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43" fillId="0" borderId="576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7744" fillId="0" borderId="57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7745" fillId="0" borderId="57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6" fillId="0" borderId="57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7" fillId="0" borderId="57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48" fillId="0" borderId="57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49" fillId="0" borderId="57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0" fillId="0" borderId="57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1" fillId="0" borderId="57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2" fillId="0" borderId="57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3" fillId="0" borderId="57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54" fillId="0" borderId="57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5" fillId="0" borderId="57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6" fillId="0" borderId="57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7" fillId="0" borderId="57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58" fillId="0" borderId="57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59" fillId="0" borderId="57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0" fillId="0" borderId="57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1" fillId="0" borderId="57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2" fillId="0" borderId="57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3" fillId="0" borderId="57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4" fillId="0" borderId="57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5" fillId="0" borderId="57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6" fillId="0" borderId="57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7" fillId="0" borderId="57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68" fillId="0" borderId="57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69" fillId="0" borderId="57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0" fillId="0" borderId="57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1" fillId="0" borderId="57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2" fillId="0" borderId="57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3" fillId="0" borderId="57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4" fillId="0" borderId="57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5" fillId="0" borderId="57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6" fillId="0" borderId="57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7" fillId="0" borderId="57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78" fillId="0" borderId="57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79" fillId="0" borderId="57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0" fillId="0" borderId="57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1" fillId="0" borderId="58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2" fillId="0" borderId="58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3" fillId="0" borderId="580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84" fillId="0" borderId="58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5" fillId="0" borderId="58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6" fillId="0" borderId="58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7" fillId="0" borderId="58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88" fillId="0" borderId="58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89" fillId="0" borderId="58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0" fillId="0" borderId="58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1" fillId="0" borderId="58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2" fillId="0" borderId="58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3" fillId="0" borderId="58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4" fillId="0" borderId="58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5" fillId="0" borderId="58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6" fillId="0" borderId="58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797" fillId="0" borderId="58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798" fillId="0" borderId="58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799" fillId="0" borderId="58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00" fillId="0" borderId="58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01" fillId="0" borderId="58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02" fillId="0" borderId="58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7803" fillId="0" borderId="58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804" fillId="0" borderId="58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7805" fillId="0" borderId="582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0" fillId="0" borderId="5825" xfId="0"/>
    <xf numFmtId="0" fontId="0" fillId="0" borderId="5826" xfId="0" applyBorder="true"/>
    <xf numFmtId="0" fontId="7807" fillId="0" borderId="58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28" xfId="0"/>
    <xf numFmtId="0" fontId="0" fillId="0" borderId="5829" xfId="0"/>
    <xf numFmtId="0" fontId="0" fillId="0" borderId="5830" xfId="0" applyBorder="true"/>
    <xf numFmtId="0" fontId="7808" fillId="0" borderId="58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9" fillId="0" borderId="58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0" fillId="0" borderId="58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34" xfId="0" applyBorder="true"/>
    <xf numFmtId="0" fontId="0" fillId="0" borderId="5835" xfId="0"/>
    <xf numFmtId="0" fontId="0" fillId="0" borderId="5836" xfId="0"/>
    <xf numFmtId="0" fontId="0" fillId="0" borderId="5837" xfId="0"/>
    <xf numFmtId="0" fontId="0" fillId="0" borderId="5838" xfId="0"/>
    <xf numFmtId="0" fontId="0" fillId="0" borderId="5839" xfId="0"/>
    <xf numFmtId="0" fontId="0" fillId="0" borderId="5840" xfId="0"/>
    <xf numFmtId="0" fontId="0" fillId="0" borderId="5841" xfId="0"/>
    <xf numFmtId="0" fontId="0" fillId="0" borderId="5842" xfId="0"/>
    <xf numFmtId="0" fontId="7811" fillId="0" borderId="58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2" fillId="0" borderId="58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3" fillId="0" borderId="58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5846" xfId="0"/>
    <xf numFmtId="0" fontId="0" fillId="0" borderId="5847" xfId="0"/>
    <xf numFmtId="0" fontId="0" fillId="0" borderId="5848" xfId="0" applyBorder="true"/>
    <xf numFmtId="0" fontId="0" fillId="0" borderId="5849" xfId="0"/>
    <xf numFmtId="0" fontId="7815" fillId="0" borderId="58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16" fillId="0" borderId="5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7" fillId="0" borderId="5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8" fillId="0" borderId="5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19" fillId="0" borderId="5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0" fillId="0" borderId="5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1" fillId="0" borderId="5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2" fillId="0" borderId="5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3" fillId="0" borderId="5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4" fillId="0" borderId="5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5" fillId="0" borderId="5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6" fillId="0" borderId="5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7" fillId="0" borderId="5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8" fillId="0" borderId="5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29" fillId="0" borderId="5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0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1" fillId="0" borderId="5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2" fillId="0" borderId="5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3" fillId="0" borderId="5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4" fillId="0" borderId="5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5" fillId="0" borderId="5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6" fillId="0" borderId="5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7" fillId="0" borderId="5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8" fillId="0" borderId="5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39" fillId="0" borderId="5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0" fillId="0" borderId="5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1" fillId="0" borderId="5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2" fillId="0" borderId="5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3" fillId="0" borderId="5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4" fillId="0" borderId="5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5" fillId="0" borderId="5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6" fillId="0" borderId="5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7" fillId="0" borderId="5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8" fillId="0" borderId="5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49" fillId="0" borderId="5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0" fillId="0" borderId="5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1" fillId="0" borderId="5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2" fillId="0" borderId="5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3" fillId="0" borderId="5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4" fillId="0" borderId="5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5" fillId="0" borderId="5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6" fillId="0" borderId="5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7" fillId="0" borderId="5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858" fillId="0" borderId="5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59" fillId="0" borderId="58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0" fillId="0" borderId="58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1" fillId="0" borderId="58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2" fillId="0" borderId="58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3" fillId="0" borderId="58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4" fillId="0" borderId="58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65" fillId="0" borderId="590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6" fillId="0" borderId="590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7" fillId="0" borderId="59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8" fillId="0" borderId="59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69" fillId="0" borderId="59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0" fillId="0" borderId="59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1" fillId="0" borderId="59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2" fillId="0" borderId="59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3" fillId="0" borderId="59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4" fillId="0" borderId="59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5" fillId="0" borderId="59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6" fillId="0" borderId="59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77" fillId="0" borderId="59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8" fillId="0" borderId="59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79" fillId="0" borderId="59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0" fillId="0" borderId="59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1" fillId="0" borderId="59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2" fillId="0" borderId="59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7883" fillId="0" borderId="59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4" fillId="0" borderId="5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885" fillId="0" borderId="59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86" fillId="0" borderId="5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87" fillId="0" borderId="59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88" fillId="0" borderId="59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89" fillId="0" borderId="59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90" fillId="0" borderId="59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91" fillId="0" borderId="59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92" fillId="0" borderId="59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893" fillId="0" borderId="5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4" fillId="0" borderId="5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5" fillId="0" borderId="5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6" fillId="0" borderId="5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7" fillId="0" borderId="5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8" fillId="0" borderId="5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899" fillId="0" borderId="59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0" fillId="0" borderId="59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1" fillId="0" borderId="59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2" fillId="0" borderId="59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3" fillId="0" borderId="59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4" fillId="0" borderId="59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05" fillId="0" borderId="5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906" fillId="0" borderId="5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907" fillId="0" borderId="5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908" fillId="0" borderId="5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909" fillId="0" borderId="5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7910" fillId="0" borderId="5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12" fillId="0" borderId="59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14" fillId="0" borderId="59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16" fillId="0" borderId="59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18" fillId="0" borderId="5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20" fillId="0" borderId="59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22" fillId="0" borderId="59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24" fillId="0" borderId="59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26" fillId="0" borderId="5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28" fillId="0" borderId="59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0" fillId="0" borderId="59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32" fillId="0" borderId="59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34" fillId="0" borderId="5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36" fillId="0" borderId="59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38" fillId="0" borderId="59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7940" fillId="0" borderId="59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942" fillId="0" borderId="5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4" fillId="0" borderId="5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6" fillId="0" borderId="5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48" fillId="0" borderId="5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0" fillId="0" borderId="5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2" fillId="0" borderId="5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4" fillId="0" borderId="5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6" fillId="0" borderId="5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58" fillId="0" borderId="59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0" fillId="0" borderId="59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2" fillId="0" borderId="59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4" fillId="0" borderId="59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6" fillId="0" borderId="59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8" fillId="0" borderId="59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0" fillId="0" borderId="59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2" fillId="0" borderId="59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4" fillId="0" borderId="59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6" fillId="0" borderId="59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78" fillId="0" borderId="59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0" fillId="0" borderId="59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2" fillId="0" borderId="59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4" fillId="0" borderId="59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6" fillId="0" borderId="59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8" fillId="0" borderId="59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0" fillId="0" borderId="5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992" fillId="0" borderId="59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4" fillId="0" borderId="59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6" fillId="0" borderId="59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98" fillId="0" borderId="59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0" fillId="0" borderId="59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2" fillId="0" borderId="59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4" fillId="0" borderId="59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6" fillId="0" borderId="59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8" fillId="0" borderId="59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0" fillId="0" borderId="59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2" fillId="0" borderId="59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4" fillId="0" borderId="59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6" fillId="0" borderId="59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18" fillId="0" borderId="59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0" fillId="0" borderId="60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2" fillId="0" borderId="60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4" fillId="0" borderId="60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6" fillId="0" borderId="60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8" fillId="0" borderId="60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0" fillId="0" borderId="60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2" fillId="0" borderId="60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4" fillId="0" borderId="60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6" fillId="0" borderId="60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38" fillId="0" borderId="60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0" fillId="0" borderId="6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2" fillId="0" borderId="6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4" fillId="0" borderId="6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6" fillId="0" borderId="6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48" fillId="0" borderId="6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0" fillId="0" borderId="6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2" fillId="0" borderId="6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4" fillId="0" borderId="60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56" fillId="0" borderId="6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58" fillId="0" borderId="6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0" fillId="0" borderId="6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2" fillId="0" borderId="6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4" fillId="0" borderId="6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6" fillId="0" borderId="6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68" fillId="0" borderId="6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0" fillId="0" borderId="60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72" fillId="0" borderId="60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74" fillId="0" borderId="60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76" fillId="0" borderId="6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78" fillId="0" borderId="60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0" fillId="0" borderId="60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82" fillId="0" borderId="60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84" fillId="0" borderId="6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86" fillId="0" borderId="60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88" fillId="0" borderId="60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0" fillId="0" borderId="60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092" fillId="0" borderId="6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094" fillId="0" borderId="60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96" fillId="0" borderId="60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098" fillId="0" borderId="60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00" fillId="0" borderId="6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02" fillId="0" borderId="60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04" fillId="0" borderId="60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06" fillId="0" borderId="60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08" fillId="0" borderId="6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0" fillId="0" borderId="60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12" fillId="0" borderId="60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14" fillId="0" borderId="60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16" fillId="0" borderId="6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18" fillId="0" borderId="60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0" fillId="0" borderId="60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22" fillId="0" borderId="60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24" fillId="0" borderId="6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26" fillId="0" borderId="60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28" fillId="0" borderId="60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0" fillId="0" borderId="60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32" fillId="0" borderId="6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34" fillId="0" borderId="60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36" fillId="0" borderId="60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38" fillId="0" borderId="60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40" fillId="0" borderId="6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42" fillId="0" borderId="60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44" fillId="0" borderId="60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46" fillId="0" borderId="60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48" fillId="0" borderId="6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0" fillId="0" borderId="60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52" fillId="0" borderId="60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54" fillId="0" borderId="60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56" fillId="0" borderId="6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58" fillId="0" borderId="60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60" fillId="0" borderId="60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162" fillId="0" borderId="60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164" fillId="0" borderId="6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66" fillId="0" borderId="60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68" fillId="0" borderId="6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0" fillId="0" borderId="6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2" fillId="0" borderId="6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4" fillId="0" borderId="6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6" fillId="0" borderId="6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78" fillId="0" borderId="6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0" fillId="0" borderId="6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2" fillId="0" borderId="60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84" fillId="0" borderId="6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6" fillId="0" borderId="6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88" fillId="0" borderId="6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0" fillId="0" borderId="6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2" fillId="0" borderId="6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4" fillId="0" borderId="6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6" fillId="0" borderId="6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198" fillId="0" borderId="60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00" fillId="0" borderId="6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2" fillId="0" borderId="6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4" fillId="0" borderId="6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6" fillId="0" borderId="6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08" fillId="0" borderId="6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0" fillId="0" borderId="6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2" fillId="0" borderId="6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4" fillId="0" borderId="60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16" fillId="0" borderId="6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18" fillId="0" borderId="6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0" fillId="0" borderId="6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2" fillId="0" borderId="6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4" fillId="0" borderId="6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6" fillId="0" borderId="6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28" fillId="0" borderId="6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30" fillId="0" borderId="6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32" fillId="0" borderId="6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34" fillId="0" borderId="6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6" fillId="0" borderId="6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38" fillId="0" borderId="6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40" fillId="0" borderId="6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242" fillId="0" borderId="6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4" fillId="0" borderId="6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6" fillId="0" borderId="6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48" fillId="0" borderId="6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0" fillId="0" borderId="6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2" fillId="0" borderId="6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4" fillId="0" borderId="6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6" fillId="0" borderId="6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58" fillId="0" borderId="6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0" fillId="0" borderId="6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2" fillId="0" borderId="6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4" fillId="0" borderId="6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6" fillId="0" borderId="6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68" fillId="0" borderId="6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0" fillId="0" borderId="6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2" fillId="0" borderId="6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4" fillId="0" borderId="6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6" fillId="0" borderId="6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78" fillId="0" borderId="6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0" fillId="0" borderId="6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2" fillId="0" borderId="6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4" fillId="0" borderId="6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6" fillId="0" borderId="6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88" fillId="0" borderId="6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0" fillId="0" borderId="6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2" fillId="0" borderId="6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4" fillId="0" borderId="6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6" fillId="0" borderId="6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98" fillId="0" borderId="6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0" fillId="0" borderId="6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2" fillId="0" borderId="6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4" fillId="0" borderId="6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6" fillId="0" borderId="6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8" fillId="0" borderId="6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09" fillId="0" borderId="61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0" fillId="0" borderId="61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1" fillId="0" borderId="61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2" fillId="0" borderId="614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3" fillId="0" borderId="61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4" fillId="0" borderId="61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5" fillId="0" borderId="61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6" fillId="0" borderId="61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7" fillId="0" borderId="61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8" fillId="0" borderId="61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19" fillId="0" borderId="61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0" fillId="0" borderId="61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1" fillId="0" borderId="61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2" fillId="0" borderId="61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3" fillId="0" borderId="61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4" fillId="0" borderId="616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5" fillId="0" borderId="61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26" fillId="0" borderId="61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7" fillId="0" borderId="61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8" fillId="0" borderId="616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29" fillId="0" borderId="61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0" fillId="0" borderId="61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1" fillId="0" borderId="616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2" fillId="0" borderId="616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3" fillId="0" borderId="616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4" fillId="0" borderId="617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5" fillId="0" borderId="617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6" fillId="0" borderId="617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7" fillId="0" borderId="61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8" fillId="0" borderId="617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39" fillId="0" borderId="617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0" fillId="0" borderId="617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1" fillId="0" borderId="617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2" fillId="0" borderId="617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3" fillId="0" borderId="617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4" fillId="0" borderId="618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5" fillId="0" borderId="61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6" fillId="0" borderId="618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7" fillId="0" borderId="61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8" fillId="0" borderId="61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49" fillId="0" borderId="61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0" fillId="0" borderId="61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1" fillId="0" borderId="61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2" fillId="0" borderId="618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3" fillId="0" borderId="618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4" fillId="0" borderId="619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5" fillId="0" borderId="61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6" fillId="0" borderId="619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7" fillId="0" borderId="61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358" fillId="0" borderId="619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59" fillId="0" borderId="61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0" fillId="0" borderId="619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1" fillId="0" borderId="619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2" fillId="0" borderId="619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3" fillId="0" borderId="619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4" fillId="0" borderId="620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5" fillId="0" borderId="62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66" fillId="0" borderId="620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67" fillId="0" borderId="62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68" fillId="0" borderId="62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69" fillId="0" borderId="6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70" fillId="0" borderId="620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71" fillId="0" borderId="62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72" fillId="0" borderId="6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73" fillId="0" borderId="62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74" fillId="0" borderId="621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75" fillId="0" borderId="6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76" fillId="0" borderId="62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77" fillId="0" borderId="62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78" fillId="0" borderId="621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79" fillId="0" borderId="62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80" fillId="0" borderId="6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1" fillId="0" borderId="62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82" fillId="0" borderId="621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83" fillId="0" borderId="62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84" fillId="0" borderId="62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5" fillId="0" borderId="62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86" fillId="0" borderId="622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87" fillId="0" borderId="62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88" fillId="0" borderId="622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89" fillId="0" borderId="62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90" fillId="0" borderId="622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91" fillId="0" borderId="62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92" fillId="0" borderId="622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93" fillId="0" borderId="62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94" fillId="0" borderId="623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95" fillId="0" borderId="62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396" fillId="0" borderId="623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97" fillId="0" borderId="62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398" fillId="0" borderId="623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399" fillId="0" borderId="62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400" fillId="0" borderId="623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1" fillId="0" borderId="62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02" fillId="0" borderId="623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403" fillId="0" borderId="62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404" fillId="0" borderId="624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5" fillId="0" borderId="62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06" fillId="0" borderId="624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407" fillId="0" borderId="62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408" fillId="0" borderId="62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09" fillId="0" borderId="62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10" fillId="0" borderId="624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411" fillId="0" borderId="62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412" fillId="0" borderId="62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3" fillId="0" borderId="62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14" fillId="0" borderId="625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5" fillId="0" borderId="625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6" fillId="0" borderId="62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7" fillId="0" borderId="625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8" fillId="0" borderId="625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19" fillId="0" borderId="625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0" fillId="0" borderId="62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1" fillId="0" borderId="6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22" fillId="0" borderId="62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3" fillId="0" borderId="6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4" fillId="0" borderId="6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5" fillId="0" borderId="6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6" fillId="0" borderId="6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7" fillId="0" borderId="6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8" fillId="0" borderId="6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29" fillId="0" borderId="62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30" fillId="0" borderId="62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1" fillId="0" borderId="62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2" fillId="0" borderId="62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3" fillId="0" borderId="626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4" fillId="0" borderId="627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5" fillId="0" borderId="62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6" fillId="0" borderId="62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7" fillId="0" borderId="627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38" fillId="0" borderId="6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39" fillId="0" borderId="6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0" fillId="0" borderId="6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1" fillId="0" borderId="6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2" fillId="0" borderId="6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3" fillId="0" borderId="6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4" fillId="0" borderId="62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5" fillId="0" borderId="628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46" fillId="0" borderId="628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47" fillId="0" borderId="62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48" fillId="0" borderId="62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49" fillId="0" borderId="62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450" fillId="0" borderId="628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51" fillId="0" borderId="62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2" fillId="0" borderId="62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3" fillId="0" borderId="62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4" fillId="0" borderId="62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5" fillId="0" borderId="629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6" fillId="0" borderId="62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7" fillId="0" borderId="62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8" fillId="0" borderId="62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59" fillId="0" borderId="62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0" fillId="0" borderId="62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1" fillId="0" borderId="62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2" fillId="0" borderId="62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3" fillId="0" borderId="62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4" fillId="0" borderId="63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5" fillId="0" borderId="63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6" fillId="0" borderId="63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7" fillId="0" borderId="63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8" fillId="0" borderId="63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69" fillId="0" borderId="63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0" fillId="0" borderId="63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1" fillId="0" borderId="63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2" fillId="0" borderId="63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3" fillId="0" borderId="63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4" fillId="0" borderId="63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5" fillId="0" borderId="63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6" fillId="0" borderId="63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7" fillId="0" borderId="63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8" fillId="0" borderId="63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79" fillId="0" borderId="63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0" fillId="0" borderId="631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1" fillId="0" borderId="63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2" fillId="0" borderId="631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3" fillId="0" borderId="63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4" fillId="0" borderId="632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486" fillId="0" borderId="6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22" xfId="0"/>
    <xf numFmtId="0" fontId="0" fillId="0" borderId="6323" xfId="0" applyBorder="true"/>
    <xf numFmtId="0" fontId="0" fillId="0" borderId="6324" xfId="0"/>
    <xf numFmtId="0" fontId="8488" fillId="0" borderId="6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26" xfId="0"/>
    <xf numFmtId="0" fontId="0" fillId="0" borderId="6327" xfId="0" applyBorder="true"/>
    <xf numFmtId="0" fontId="8489" fillId="0" borderId="6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0" fillId="0" borderId="6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1" fillId="0" borderId="6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2" fillId="0" borderId="6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93" fillId="0" borderId="63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333" xfId="0" applyBorder="true"/>
    <xf numFmtId="0" fontId="0" fillId="0" borderId="6334" xfId="0"/>
    <xf numFmtId="0" fontId="0" fillId="0" borderId="6335" xfId="0"/>
    <xf numFmtId="0" fontId="0" fillId="0" borderId="6336" xfId="0"/>
    <xf numFmtId="0" fontId="0" fillId="0" borderId="6337" xfId="0"/>
    <xf numFmtId="0" fontId="0" fillId="0" borderId="6338" xfId="0"/>
    <xf numFmtId="0" fontId="0" fillId="0" borderId="6339" xfId="0"/>
    <xf numFmtId="0" fontId="0" fillId="0" borderId="6340" xfId="0" applyBorder="true"/>
    <xf numFmtId="0" fontId="0" fillId="0" borderId="6341" xfId="0"/>
    <xf numFmtId="0" fontId="8494" fillId="0" borderId="6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6" fillId="0" borderId="6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7" fillId="0" borderId="6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8" fillId="0" borderId="6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499" fillId="0" borderId="6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0" fillId="0" borderId="6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1" fillId="0" borderId="6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2" fillId="0" borderId="6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3" fillId="0" borderId="6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4" fillId="0" borderId="6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5" fillId="0" borderId="6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6" fillId="0" borderId="6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7" fillId="0" borderId="6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08" fillId="0" borderId="6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09" fillId="0" borderId="6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0" fillId="0" borderId="6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1" fillId="0" borderId="6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2" fillId="0" borderId="6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3" fillId="0" borderId="6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4" fillId="0" borderId="6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5" fillId="0" borderId="6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6" fillId="0" borderId="6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17" fillId="0" borderId="63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8" fillId="0" borderId="63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19" fillId="0" borderId="636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0" fillId="0" borderId="636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1" fillId="0" borderId="636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2" fillId="0" borderId="6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3" fillId="0" borderId="6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8524" fillId="0" borderId="63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8525" fillId="0" borderId="6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26" fillId="0" borderId="6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27" fillId="0" borderId="6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28" fillId="0" borderId="6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29" fillId="0" borderId="6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30" fillId="0" borderId="6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31" fillId="0" borderId="6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32" fillId="0" borderId="6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33" fillId="0" borderId="6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4" fillId="0" borderId="6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5" fillId="0" borderId="6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6" fillId="0" borderId="6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7" fillId="0" borderId="6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8" fillId="0" borderId="6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39" fillId="0" borderId="6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540" fillId="0" borderId="6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41" fillId="0" borderId="6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542" fillId="0" borderId="6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44" fillId="0" borderId="6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46" fillId="0" borderId="6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48" fillId="0" borderId="63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0" fillId="0" borderId="6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52" fillId="0" borderId="6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54" fillId="0" borderId="6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56" fillId="0" borderId="63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558" fillId="0" borderId="63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560" fillId="0" borderId="6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62" fillId="0" borderId="6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4" fillId="0" borderId="6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6" fillId="0" borderId="6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68" fillId="0" borderId="6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0" fillId="0" borderId="6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2" fillId="0" borderId="6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4" fillId="0" borderId="6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6" fillId="0" borderId="6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78" fillId="0" borderId="6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580" fillId="0" borderId="6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2" fillId="0" borderId="6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4" fillId="0" borderId="6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6" fillId="0" borderId="64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88" fillId="0" borderId="6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0" fillId="0" borderId="6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2" fillId="0" borderId="6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4" fillId="0" borderId="64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6" fillId="0" borderId="6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598" fillId="0" borderId="6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0" fillId="0" borderId="64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2" fillId="0" borderId="6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04" fillId="0" borderId="6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6" fillId="0" borderId="6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08" fillId="0" borderId="6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0" fillId="0" borderId="6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12" fillId="0" borderId="6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4" fillId="0" borderId="6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6" fillId="0" borderId="6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18" fillId="0" borderId="6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0" fillId="0" borderId="64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22" fillId="0" borderId="6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24" fillId="0" borderId="6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26" fillId="0" borderId="6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28" fillId="0" borderId="643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0" fillId="0" borderId="6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32" fillId="0" borderId="6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34" fillId="0" borderId="6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36" fillId="0" borderId="6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38" fillId="0" borderId="6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40" fillId="0" borderId="6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42" fillId="0" borderId="6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44" fillId="0" borderId="6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46" fillId="0" borderId="6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48" fillId="0" borderId="6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0" fillId="0" borderId="6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52" fillId="0" borderId="6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54" fillId="0" borderId="6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56" fillId="0" borderId="6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58" fillId="0" borderId="6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0" fillId="0" borderId="64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62" fillId="0" borderId="6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64" fillId="0" borderId="6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66" fillId="0" borderId="6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68" fillId="0" borderId="64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0" fillId="0" borderId="6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72" fillId="0" borderId="6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74" fillId="0" borderId="6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76" fillId="0" borderId="64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8678" fillId="0" borderId="6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680" fillId="0" borderId="6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82" fillId="0" borderId="6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4" fillId="0" borderId="6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86" fillId="0" borderId="6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88" fillId="0" borderId="6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0" fillId="0" borderId="6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2" fillId="0" borderId="6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694" fillId="0" borderId="6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6" fillId="0" borderId="6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698" fillId="0" borderId="64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0" fillId="0" borderId="6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02" fillId="0" borderId="6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4" fillId="0" borderId="6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6" fillId="0" borderId="64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08" fillId="0" borderId="6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0" fillId="0" borderId="6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2" fillId="0" borderId="64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4" fillId="0" borderId="6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16" fillId="0" borderId="6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18" fillId="0" borderId="6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0" fillId="0" borderId="64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2" fillId="0" borderId="6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24" fillId="0" borderId="6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726" fillId="0" borderId="6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8" fillId="0" borderId="6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729" fillId="0" borderId="648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0" fillId="0" borderId="648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1" fillId="0" borderId="648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2" fillId="0" borderId="648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3" fillId="0" borderId="648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4" fillId="0" borderId="648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5" fillId="0" borderId="648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6" fillId="0" borderId="649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7" fillId="0" borderId="6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38" fillId="0" borderId="649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39" fillId="0" borderId="649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0" fillId="0" borderId="649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1" fillId="0" borderId="649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2" fillId="0" borderId="649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3" fillId="0" borderId="649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4" fillId="0" borderId="649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5" fillId="0" borderId="649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6" fillId="0" borderId="650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7" fillId="0" borderId="650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8" fillId="0" borderId="65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49" fillId="0" borderId="65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50" fillId="0" borderId="650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1" fillId="0" borderId="65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2" fillId="0" borderId="65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3" fillId="0" borderId="650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54" fillId="0" borderId="65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5" fillId="0" borderId="65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6" fillId="0" borderId="65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57" fillId="0" borderId="65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58" fillId="0" borderId="651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59" fillId="0" borderId="65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60" fillId="0" borderId="65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1" fillId="0" borderId="651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62" fillId="0" borderId="651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63" fillId="0" borderId="651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64" fillId="0" borderId="65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5" fillId="0" borderId="651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66" fillId="0" borderId="652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67" fillId="0" borderId="652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68" fillId="0" borderId="652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69" fillId="0" borderId="652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70" fillId="0" borderId="6524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71" fillId="0" borderId="652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72" fillId="0" borderId="652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3" fillId="0" borderId="652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74" fillId="0" borderId="6528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75" fillId="0" borderId="652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76" fillId="0" borderId="653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77" fillId="0" borderId="653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78" fillId="0" borderId="6532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79" fillId="0" borderId="653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80" fillId="0" borderId="653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1" fillId="0" borderId="653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82" fillId="0" borderId="6536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83" fillId="0" borderId="653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84" fillId="0" borderId="653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5" fillId="0" borderId="653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786" fillId="0" borderId="6540" xfId="0" applyNumberFormat="true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0" fontId="8787" fillId="0" borderId="654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8788" fillId="0" borderId="6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89" fillId="0" borderId="654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0" fillId="0" borderId="6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91" fillId="0" borderId="654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2" fillId="0" borderId="654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3" fillId="0" borderId="654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4" fillId="0" borderId="65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95" fillId="0" borderId="654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6" fillId="0" borderId="655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7" fillId="0" borderId="655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798" fillId="0" borderId="655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99" fillId="0" borderId="65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0" fillId="0" borderId="65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1" fillId="0" borderId="65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2" fillId="0" borderId="65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03" fillId="0" borderId="65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4" fillId="0" borderId="65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5" fillId="0" borderId="65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6" fillId="0" borderId="65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07" fillId="0" borderId="656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8" fillId="0" borderId="656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09" fillId="0" borderId="656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8810" fillId="0" borderId="6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11" fillId="0" borderId="656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812" fillId="0" borderId="656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FormatPr defaultRowHeight="15"/>
  <sheetData>
    <row r="1">
      <c r="A1" s="632"/>
      <c r="B1" s="633"/>
      <c r="C1" s="634"/>
      <c r="D1" s="635"/>
      <c r="E1" s="636"/>
      <c r="F1" s="637"/>
      <c r="G1" s="638"/>
      <c r="H1" s="639"/>
      <c r="I1" s="640"/>
    </row>
    <row r="2">
      <c r="A2" s="641"/>
      <c r="B2" s="642"/>
      <c r="C2" s="643"/>
      <c r="D2" s="644"/>
      <c r="E2" s="645"/>
      <c r="F2" s="646"/>
      <c r="G2" s="647"/>
      <c r="H2" s="648"/>
      <c r="I2" s="649"/>
    </row>
    <row r="3">
      <c r="A3" s="650" t="s">
        <v>27</v>
      </c>
      <c r="B3" s="651"/>
      <c r="C3" s="652"/>
      <c r="D3" s="653"/>
      <c r="E3" s="654"/>
      <c r="F3" s="655"/>
      <c r="G3" s="656"/>
      <c r="H3" s="657"/>
      <c r="I3" s="658"/>
    </row>
    <row r="4">
      <c r="A4" s="659"/>
      <c r="B4" s="660"/>
      <c r="C4" s="661"/>
      <c r="D4" s="662"/>
      <c r="E4" s="663"/>
      <c r="F4" s="664"/>
      <c r="G4" s="665"/>
      <c r="H4" s="666"/>
      <c r="I4" s="667"/>
    </row>
    <row r="5">
      <c r="A5" s="668" t="s">
        <v>0</v>
      </c>
      <c r="B5" s="669"/>
      <c r="C5" s="670"/>
      <c r="D5" s="671"/>
      <c r="E5" s="672"/>
      <c r="F5" s="673"/>
      <c r="G5" s="674"/>
      <c r="H5" s="675"/>
      <c r="I5" s="676"/>
    </row>
    <row r="6">
      <c r="A6" s="677"/>
      <c r="B6" s="678"/>
      <c r="C6" s="679"/>
      <c r="D6" s="680"/>
      <c r="E6" s="681"/>
      <c r="F6" s="682"/>
      <c r="G6" s="683"/>
      <c r="H6" s="684"/>
      <c r="I6" s="685"/>
    </row>
    <row r="7">
      <c r="A7" s="686"/>
      <c r="B7" s="687"/>
      <c r="C7" s="688"/>
      <c r="D7" s="689"/>
      <c r="E7" s="690"/>
      <c r="F7" s="691"/>
      <c r="G7" s="692"/>
      <c r="H7" s="693"/>
      <c r="I7" s="694"/>
    </row>
    <row r="8">
      <c r="A8" s="695"/>
      <c r="B8" s="696"/>
      <c r="C8" s="697"/>
      <c r="D8" s="698"/>
      <c r="E8" s="699"/>
      <c r="F8" s="700"/>
      <c r="G8" s="701"/>
      <c r="H8" s="702"/>
      <c r="I8" s="703"/>
    </row>
    <row r="9">
      <c r="A9" s="704" t="s">
        <v>1</v>
      </c>
      <c r="B9" s="705">
        <v>208</v>
      </c>
      <c r="C9" s="706"/>
      <c r="D9" s="707">
        <v>626</v>
      </c>
      <c r="E9" s="708"/>
      <c r="F9" s="709">
        <v>205</v>
      </c>
      <c r="G9" s="710"/>
      <c r="H9" s="711">
        <v>74</v>
      </c>
      <c r="I9" s="712"/>
    </row>
    <row r="10">
      <c r="A10" s="713" t="s">
        <v>2</v>
      </c>
      <c r="B10" s="714" t="s">
        <v>3</v>
      </c>
      <c r="C10" s="715"/>
      <c r="D10" s="716" t="s">
        <v>4</v>
      </c>
      <c r="E10" s="717"/>
      <c r="F10" s="718"/>
      <c r="G10" s="719"/>
      <c r="H10" s="720"/>
      <c r="I10" s="721"/>
    </row>
    <row r="11">
      <c r="A11" s="722" t="s">
        <v>5</v>
      </c>
      <c r="B11" s="723"/>
      <c r="C11" s="724"/>
      <c r="D11" s="725"/>
      <c r="E11" s="726"/>
      <c r="F11" s="727" t="s">
        <v>3</v>
      </c>
      <c r="G11" s="728"/>
      <c r="H11" s="729" t="s">
        <v>4</v>
      </c>
      <c r="I11" s="730"/>
    </row>
    <row r="12">
      <c r="A12" s="731"/>
      <c r="B12" s="732" t="s">
        <v>6</v>
      </c>
      <c r="C12" s="733" t="s">
        <v>7</v>
      </c>
      <c r="D12" s="734" t="s">
        <v>6</v>
      </c>
      <c r="E12" s="735" t="s">
        <v>7</v>
      </c>
      <c r="F12" s="736" t="s">
        <v>6</v>
      </c>
      <c r="G12" s="737" t="s">
        <v>7</v>
      </c>
      <c r="H12" s="738" t="s">
        <v>6</v>
      </c>
      <c r="I12" s="739" t="s">
        <v>7</v>
      </c>
    </row>
    <row r="13">
      <c r="A13" s="740" t="s">
        <v>8</v>
      </c>
      <c r="B13" s="741">
        <v>0.25564441745742578</v>
      </c>
      <c r="C13" s="742">
        <v>0.2399482578039169</v>
      </c>
      <c r="D13" s="743">
        <v>0.27964239691595388</v>
      </c>
      <c r="E13" s="744">
        <v>0.24362808465957639</v>
      </c>
      <c r="F13" s="745">
        <v>0.16772086177611861</v>
      </c>
      <c r="G13" s="746">
        <v>0.14296309649944311</v>
      </c>
      <c r="H13" s="747">
        <v>0.17931647885062199</v>
      </c>
      <c r="I13" s="748">
        <v>0.14174430817365649</v>
      </c>
    </row>
    <row r="14">
      <c r="A14" s="749" t="s">
        <v>9</v>
      </c>
      <c r="B14" s="750">
        <v>0.92396983787274134</v>
      </c>
      <c r="C14" s="751">
        <v>0.91106265783309937</v>
      </c>
      <c r="D14" s="752">
        <v>1.015180367116516</v>
      </c>
      <c r="E14" s="753">
        <v>0.91396743059158325</v>
      </c>
      <c r="F14" s="754">
        <v>2.176219368240599</v>
      </c>
      <c r="G14" s="755">
        <v>1.586154460906982</v>
      </c>
      <c r="H14" s="756">
        <v>2.6207329583034591</v>
      </c>
      <c r="I14" s="757">
        <v>1.794391274452209</v>
      </c>
    </row>
    <row r="15">
      <c r="A15" s="758" t="s">
        <v>10</v>
      </c>
      <c r="B15" s="759">
        <v>0.21634615384615391</v>
      </c>
      <c r="C15" s="760">
        <v>0</v>
      </c>
      <c r="D15" s="761">
        <v>0.19808306709265169</v>
      </c>
      <c r="E15" s="762">
        <v>0</v>
      </c>
      <c r="F15" s="763">
        <v>0.21951219512195119</v>
      </c>
      <c r="G15" s="764">
        <v>0</v>
      </c>
      <c r="H15" s="765">
        <v>0.27027027027027029</v>
      </c>
      <c r="I15" s="766">
        <v>0</v>
      </c>
    </row>
    <row r="16">
      <c r="A16" s="767" t="s">
        <v>11</v>
      </c>
      <c r="B16" s="768">
        <v>0.24519230769230771</v>
      </c>
      <c r="C16" s="769">
        <v>0</v>
      </c>
      <c r="D16" s="770">
        <v>0.2044728434504792</v>
      </c>
      <c r="E16" s="771">
        <v>0</v>
      </c>
      <c r="F16" s="772">
        <v>0.25365853658536591</v>
      </c>
      <c r="G16" s="773">
        <v>0</v>
      </c>
      <c r="H16" s="774">
        <v>0.45945945945945948</v>
      </c>
      <c r="I16" s="775">
        <v>0</v>
      </c>
    </row>
    <row r="17">
      <c r="A17" s="776" t="s">
        <v>12</v>
      </c>
      <c r="B17" s="777">
        <v>0.027055176162516702</v>
      </c>
      <c r="C17" s="778">
        <v>0.00091468196478670005</v>
      </c>
      <c r="D17" s="779">
        <v>0.025315742256742602</v>
      </c>
      <c r="E17" s="780">
        <v>0.00062233448261399997</v>
      </c>
      <c r="F17" s="781">
        <v>0.027998328430169001</v>
      </c>
      <c r="G17" s="782">
        <v>0.00082651869161050003</v>
      </c>
      <c r="H17" s="783">
        <v>0.033859663416577</v>
      </c>
      <c r="I17" s="784">
        <v>0.0014620834263041999</v>
      </c>
    </row>
    <row r="18">
      <c r="A18" s="785" t="s">
        <v>13</v>
      </c>
      <c r="B18" s="786">
        <v>0.41826923076923078</v>
      </c>
      <c r="C18" s="787">
        <v>0</v>
      </c>
      <c r="D18" s="788">
        <v>0.4281150159744409</v>
      </c>
      <c r="E18" s="789">
        <v>0</v>
      </c>
      <c r="F18" s="790">
        <v>0.42439024390243901</v>
      </c>
      <c r="G18" s="791">
        <v>0</v>
      </c>
      <c r="H18" s="792">
        <v>0.48648648648648651</v>
      </c>
      <c r="I18" s="793">
        <v>0</v>
      </c>
    </row>
    <row r="19">
      <c r="A19" s="794" t="s">
        <v>14</v>
      </c>
      <c r="B19" s="795">
        <v>0.15295262229987061</v>
      </c>
      <c r="C19" s="796">
        <v>0.14371383190155029</v>
      </c>
      <c r="D19" s="797">
        <v>0.16367079345799521</v>
      </c>
      <c r="E19" s="798">
        <v>0.1557770371437073</v>
      </c>
      <c r="F19" s="799">
        <v>0.12960283497530151</v>
      </c>
      <c r="G19" s="800">
        <v>0.1246771514415741</v>
      </c>
      <c r="H19" s="801">
        <v>0.1198629927443894</v>
      </c>
      <c r="I19" s="802">
        <v>0.1171532496809959</v>
      </c>
    </row>
    <row r="20">
      <c r="A20" s="803" t="s">
        <v>15</v>
      </c>
      <c r="B20" s="804">
        <v>0.072049195196506405</v>
      </c>
      <c r="C20" s="805">
        <v>0.053281100466847399</v>
      </c>
      <c r="D20" s="806">
        <v>0.070113907071903903</v>
      </c>
      <c r="E20" s="807">
        <v>0.051716893911361701</v>
      </c>
      <c r="F20" s="808">
        <v>0.095733917383022796</v>
      </c>
      <c r="G20" s="809">
        <v>0.079017288982868195</v>
      </c>
      <c r="H20" s="810">
        <v>0.1089996817691654</v>
      </c>
      <c r="I20" s="811">
        <v>0.1037795543670654</v>
      </c>
    </row>
    <row r="21">
      <c r="A21" s="812" t="s">
        <v>16</v>
      </c>
      <c r="B21" s="813">
        <v>0.015608730081741899</v>
      </c>
      <c r="C21" s="814">
        <v>0.0020952305058017</v>
      </c>
      <c r="D21" s="815">
        <v>0.014881391361089499</v>
      </c>
      <c r="E21" s="816">
        <v>0</v>
      </c>
      <c r="F21" s="817">
        <v>0.011590340150777201</v>
      </c>
      <c r="G21" s="818">
        <v>0</v>
      </c>
      <c r="H21" s="819">
        <v>0.0168081808652779</v>
      </c>
      <c r="I21" s="820">
        <v>0.00096274344832640005</v>
      </c>
    </row>
    <row r="22">
      <c r="A22" s="821" t="s">
        <v>17</v>
      </c>
      <c r="B22" s="822">
        <v>0.26719792665412218</v>
      </c>
      <c r="C22" s="823">
        <v>0.26268452405929571</v>
      </c>
      <c r="D22" s="824">
        <v>0.27297059590883632</v>
      </c>
      <c r="E22" s="825">
        <v>0.26129326224327087</v>
      </c>
      <c r="F22" s="826">
        <v>0.31903504945519501</v>
      </c>
      <c r="G22" s="827">
        <v>0.32532945275306702</v>
      </c>
      <c r="H22" s="828">
        <v>0.38654164416161751</v>
      </c>
      <c r="I22" s="829">
        <v>0.38127143681049352</v>
      </c>
    </row>
    <row r="23">
      <c r="A23" s="830" t="s">
        <v>18</v>
      </c>
      <c r="B23" s="831">
        <v>0.11837292231547721</v>
      </c>
      <c r="C23" s="832">
        <v>0.10181675851345059</v>
      </c>
      <c r="D23" s="833">
        <v>0.14631731987606511</v>
      </c>
      <c r="E23" s="834">
        <v>0.1276068389415741</v>
      </c>
      <c r="F23" s="835">
        <v>0.1425933350241039</v>
      </c>
      <c r="G23" s="836">
        <v>0.1357068866491318</v>
      </c>
      <c r="H23" s="837">
        <v>0.16452630151163891</v>
      </c>
      <c r="I23" s="838">
        <v>0.13933354616165161</v>
      </c>
    </row>
    <row r="24">
      <c r="A24" s="839" t="s">
        <v>19</v>
      </c>
      <c r="B24" s="840">
        <v>0.037716129332413702</v>
      </c>
      <c r="C24" s="841">
        <v>0.026621446944773201</v>
      </c>
      <c r="D24" s="842">
        <v>0.054001800074639499</v>
      </c>
      <c r="E24" s="843">
        <v>0.033236350864172003</v>
      </c>
      <c r="F24" s="844">
        <v>0.053262634095934597</v>
      </c>
      <c r="G24" s="845">
        <v>0.040020164102315903</v>
      </c>
      <c r="H24" s="846">
        <v>0.057276045466219401</v>
      </c>
      <c r="I24" s="847">
        <v>0.047980114817619303</v>
      </c>
    </row>
    <row r="25">
      <c r="A25" s="848" t="s">
        <v>20</v>
      </c>
      <c r="B25" s="849">
        <v>0.18135000739913759</v>
      </c>
      <c r="C25" s="850">
        <v>0.18668618053197861</v>
      </c>
      <c r="D25" s="851">
        <v>0.1827639541247939</v>
      </c>
      <c r="E25" s="852">
        <v>0.18007874488830569</v>
      </c>
      <c r="F25" s="853">
        <v>0.18789775440144271</v>
      </c>
      <c r="G25" s="854">
        <v>0.13378484547138211</v>
      </c>
      <c r="H25" s="855">
        <v>0.16935438863229871</v>
      </c>
      <c r="I25" s="856">
        <v>0.12752748280763629</v>
      </c>
    </row>
    <row r="26">
      <c r="A26" s="857" t="s">
        <v>21</v>
      </c>
      <c r="B26" s="858">
        <v>0.17869631833701319</v>
      </c>
      <c r="C26" s="859">
        <v>0.1223448216915131</v>
      </c>
      <c r="D26" s="860">
        <v>0.1753249298857403</v>
      </c>
      <c r="E26" s="861">
        <v>0.1152426414191723</v>
      </c>
      <c r="F26" s="862">
        <v>0.24096323792970309</v>
      </c>
      <c r="G26" s="863">
        <v>0.1796519607305527</v>
      </c>
      <c r="H26" s="864">
        <v>0.28175897976836639</v>
      </c>
      <c r="I26" s="865">
        <v>0.24608999490737921</v>
      </c>
    </row>
    <row r="27">
      <c r="A27" s="866" t="s">
        <v>22</v>
      </c>
      <c r="B27" s="867">
        <v>0.62019230769230771</v>
      </c>
      <c r="C27" s="868">
        <v>1</v>
      </c>
      <c r="D27" s="869">
        <v>0.63258785942492013</v>
      </c>
      <c r="E27" s="870">
        <v>1</v>
      </c>
      <c r="F27" s="871">
        <v>0.71707317073170729</v>
      </c>
      <c r="G27" s="872">
        <v>1</v>
      </c>
      <c r="H27" s="873">
        <v>0.71621621621621623</v>
      </c>
      <c r="I27" s="874">
        <v>1</v>
      </c>
    </row>
    <row r="28">
      <c r="A28" s="875" t="s">
        <v>23</v>
      </c>
      <c r="B28" s="876">
        <v>0.32211538461538458</v>
      </c>
      <c r="C28" s="877">
        <v>0</v>
      </c>
      <c r="D28" s="878">
        <v>0.2795527156549521</v>
      </c>
      <c r="E28" s="879">
        <v>0</v>
      </c>
      <c r="F28" s="880">
        <v>0.36097560975609749</v>
      </c>
      <c r="G28" s="881">
        <v>0</v>
      </c>
      <c r="H28" s="882">
        <v>0.36486486486486491</v>
      </c>
      <c r="I28" s="883">
        <v>0</v>
      </c>
    </row>
    <row r="29">
      <c r="A29" s="884" t="s">
        <v>24</v>
      </c>
      <c r="B29" s="885">
        <v>0.20353417826565701</v>
      </c>
      <c r="C29" s="886">
        <v>0.15939471125602719</v>
      </c>
      <c r="D29" s="887">
        <v>0.14904428162024269</v>
      </c>
      <c r="E29" s="888">
        <v>0.074521034955978394</v>
      </c>
      <c r="F29" s="889">
        <v>0.16316718947931719</v>
      </c>
      <c r="G29" s="890">
        <v>0.097902722656726796</v>
      </c>
      <c r="H29" s="891">
        <v>0.23218383794851799</v>
      </c>
      <c r="I29" s="892">
        <v>0.17911716550588611</v>
      </c>
    </row>
    <row r="30">
      <c r="A30" s="893" t="s">
        <v>25</v>
      </c>
      <c r="B30" s="894">
        <v>0.40641511220914811</v>
      </c>
      <c r="C30" s="895">
        <v>0.32883316278457642</v>
      </c>
      <c r="D30" s="896">
        <v>0.41205515602853487</v>
      </c>
      <c r="E30" s="897">
        <v>0.33326815068721771</v>
      </c>
      <c r="F30" s="898">
        <v>0.32188215919020702</v>
      </c>
      <c r="G30" s="899">
        <v>0.2193537503480911</v>
      </c>
      <c r="H30" s="900">
        <v>0.21929463475464361</v>
      </c>
      <c r="I30" s="901">
        <v>0.15990450978279111</v>
      </c>
    </row>
    <row r="31">
      <c r="A31" s="902" t="s">
        <v>26</v>
      </c>
      <c r="B31" s="903">
        <v>9.7348884871372814</v>
      </c>
      <c r="C31" s="904">
        <v>10.15595626831055</v>
      </c>
      <c r="D31" s="905">
        <v>9.567331903277875</v>
      </c>
      <c r="E31" s="906">
        <v>9.9940719604492188</v>
      </c>
      <c r="F31" s="907">
        <v>9.3366188421481997</v>
      </c>
      <c r="G31" s="908">
        <v>9.3607501983642578</v>
      </c>
      <c r="H31" s="909">
        <v>9.1542712933308366</v>
      </c>
      <c r="I31" s="910">
        <v>9.1234469413757324</v>
      </c>
    </row>
  </sheetData>
  <mergeCells count="10">
    <mergeCell ref="A5:I5"/>
    <mergeCell ref="B9:C9"/>
    <mergeCell ref="D9:E9"/>
    <mergeCell ref="F9:G9"/>
    <mergeCell ref="H9:I9"/>
    <mergeCell ref="B10:C10"/>
    <mergeCell ref="D10:E10"/>
    <mergeCell ref="F11:G11"/>
    <mergeCell ref="H11:I11"/>
    <mergeCell ref="A3:I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22"/>
  <sheetFormatPr defaultRowHeight="15"/>
  <sheetData>
    <row r="1">
      <c r="A1" s="1570"/>
      <c r="B1" s="1571"/>
      <c r="C1" s="1572"/>
      <c r="D1" s="1573"/>
      <c r="E1" s="1574"/>
      <c r="F1" s="1575"/>
      <c r="G1" s="1576"/>
      <c r="H1" s="1577"/>
      <c r="I1" s="1578"/>
      <c r="J1" s="1579"/>
      <c r="K1" s="1580"/>
      <c r="L1" s="1581"/>
      <c r="M1" s="1582"/>
      <c r="N1" s="1583"/>
      <c r="O1" s="1584"/>
      <c r="P1" s="1585"/>
    </row>
    <row r="2">
      <c r="A2" s="1586"/>
      <c r="B2" s="1587"/>
      <c r="C2" s="1588"/>
      <c r="D2" s="1589"/>
      <c r="E2" s="1590"/>
      <c r="F2" s="1591"/>
      <c r="G2" s="1592"/>
      <c r="H2" s="1593"/>
      <c r="I2" s="1594"/>
      <c r="J2" s="1595"/>
      <c r="K2" s="1596"/>
      <c r="L2" s="1597"/>
      <c r="M2" s="1598"/>
      <c r="N2" s="1599"/>
      <c r="O2" s="1600"/>
      <c r="P2" s="1601"/>
    </row>
    <row r="3">
      <c r="A3" s="1602" t="s">
        <v>28</v>
      </c>
      <c r="B3" s="1603"/>
      <c r="C3" s="1604"/>
      <c r="D3" s="1605"/>
      <c r="E3" s="1606"/>
      <c r="F3" s="1607"/>
      <c r="G3" s="1608"/>
      <c r="H3" s="1609"/>
      <c r="I3" s="1610"/>
      <c r="J3" s="1611"/>
      <c r="K3" s="1612"/>
      <c r="L3" s="1613"/>
      <c r="M3" s="1614"/>
      <c r="N3" s="1615"/>
      <c r="O3" s="1616"/>
      <c r="P3" s="1617"/>
    </row>
    <row r="4">
      <c r="A4" s="1618"/>
      <c r="B4" s="1619"/>
      <c r="C4" s="1620"/>
      <c r="D4" s="1621"/>
      <c r="E4" s="1622"/>
      <c r="F4" s="1623"/>
      <c r="G4" s="1624"/>
      <c r="H4" s="1625"/>
      <c r="I4" s="1626"/>
      <c r="J4" s="1627"/>
      <c r="K4" s="1628"/>
      <c r="L4" s="1629"/>
      <c r="M4" s="1630"/>
      <c r="N4" s="1631"/>
      <c r="O4" s="1632"/>
      <c r="P4" s="1633"/>
    </row>
    <row r="5">
      <c r="A5" s="1634" t="s">
        <v>29</v>
      </c>
      <c r="B5" s="1635"/>
      <c r="C5" s="1636"/>
      <c r="D5" s="1637"/>
      <c r="E5" s="1638"/>
      <c r="F5" s="1639"/>
      <c r="G5" s="1640"/>
      <c r="H5" s="1641"/>
      <c r="I5" s="1642"/>
      <c r="J5" s="1643"/>
      <c r="K5" s="1644"/>
      <c r="L5" s="1645"/>
      <c r="M5" s="1646"/>
      <c r="N5" s="1647"/>
      <c r="O5" s="1648"/>
      <c r="P5" s="1649"/>
    </row>
    <row r="6">
      <c r="A6" s="1650"/>
      <c r="B6" s="1651"/>
      <c r="C6" s="1652"/>
      <c r="D6" s="1653" t="s">
        <v>55</v>
      </c>
      <c r="E6" s="1654"/>
      <c r="F6" s="1655"/>
      <c r="G6" s="1656"/>
      <c r="H6" s="1657"/>
      <c r="I6" s="1658"/>
      <c r="J6" s="1659"/>
      <c r="K6" s="1660"/>
      <c r="L6" s="1661"/>
      <c r="M6" s="1662"/>
      <c r="N6" s="1663"/>
      <c r="O6" s="1664"/>
      <c r="P6" s="1665" t="s">
        <v>54</v>
      </c>
    </row>
    <row r="7">
      <c r="A7" s="1666"/>
      <c r="B7" s="1667"/>
      <c r="C7" s="1668"/>
      <c r="D7" s="1669" t="s">
        <v>42</v>
      </c>
      <c r="E7" s="1670" t="s">
        <v>43</v>
      </c>
      <c r="F7" s="1671" t="s">
        <v>44</v>
      </c>
      <c r="G7" s="1672" t="s">
        <v>45</v>
      </c>
      <c r="H7" s="1673" t="s">
        <v>46</v>
      </c>
      <c r="I7" s="1674" t="s">
        <v>47</v>
      </c>
      <c r="J7" s="1675" t="s">
        <v>48</v>
      </c>
      <c r="K7" s="1676" t="s">
        <v>49</v>
      </c>
      <c r="L7" s="1677" t="s">
        <v>50</v>
      </c>
      <c r="M7" s="1678" t="s">
        <v>51</v>
      </c>
      <c r="N7" s="1679" t="s">
        <v>52</v>
      </c>
      <c r="O7" s="1680" t="s">
        <v>53</v>
      </c>
      <c r="P7" s="1681"/>
    </row>
    <row r="8">
      <c r="A8" s="1682" t="s">
        <v>56</v>
      </c>
      <c r="B8" s="1683" t="s">
        <v>30</v>
      </c>
      <c r="C8" s="1684" t="s">
        <v>42</v>
      </c>
      <c r="D8" s="1685">
        <v>0</v>
      </c>
      <c r="E8" s="1686">
        <v>0</v>
      </c>
      <c r="F8" s="1687">
        <v>0</v>
      </c>
      <c r="G8" s="1688">
        <v>1</v>
      </c>
      <c r="H8" s="1689">
        <v>0</v>
      </c>
      <c r="I8" s="1690">
        <v>1</v>
      </c>
      <c r="J8" s="1691">
        <v>0</v>
      </c>
      <c r="K8" s="1692">
        <v>0</v>
      </c>
      <c r="L8" s="1693">
        <v>0</v>
      </c>
      <c r="M8" s="1694">
        <v>0</v>
      </c>
      <c r="N8" s="1695">
        <v>1</v>
      </c>
      <c r="O8" s="1696">
        <v>0</v>
      </c>
      <c r="P8" s="1697">
        <f>sum(D8:O8)</f>
      </c>
    </row>
    <row r="9">
      <c r="A9" s="1698"/>
      <c r="B9" s="1699" t="s">
        <v>31</v>
      </c>
      <c r="C9" s="1700" t="s">
        <v>43</v>
      </c>
      <c r="D9" s="1701">
        <v>0</v>
      </c>
      <c r="E9" s="1702">
        <v>6</v>
      </c>
      <c r="F9" s="1703">
        <v>0</v>
      </c>
      <c r="G9" s="1704">
        <v>1</v>
      </c>
      <c r="H9" s="1705">
        <v>2</v>
      </c>
      <c r="I9" s="1706">
        <v>0</v>
      </c>
      <c r="J9" s="1707">
        <v>2</v>
      </c>
      <c r="K9" s="1708">
        <v>0</v>
      </c>
      <c r="L9" s="1709">
        <v>0</v>
      </c>
      <c r="M9" s="1710">
        <v>0</v>
      </c>
      <c r="N9" s="1711">
        <v>1</v>
      </c>
      <c r="O9" s="1712">
        <v>0</v>
      </c>
      <c r="P9" s="1713">
        <f>sum(D9:O9)</f>
      </c>
    </row>
    <row r="10">
      <c r="A10" s="1714"/>
      <c r="B10" s="1715" t="s">
        <v>32</v>
      </c>
      <c r="C10" s="1716" t="s">
        <v>44</v>
      </c>
      <c r="D10" s="1717">
        <v>0</v>
      </c>
      <c r="E10" s="1718">
        <v>0</v>
      </c>
      <c r="F10" s="1719">
        <v>0</v>
      </c>
      <c r="G10" s="1720">
        <v>0</v>
      </c>
      <c r="H10" s="1721">
        <v>0</v>
      </c>
      <c r="I10" s="1722">
        <v>3</v>
      </c>
      <c r="J10" s="1723">
        <v>0</v>
      </c>
      <c r="K10" s="1724">
        <v>0</v>
      </c>
      <c r="L10" s="1725">
        <v>0</v>
      </c>
      <c r="M10" s="1726">
        <v>0</v>
      </c>
      <c r="N10" s="1727">
        <v>2</v>
      </c>
      <c r="O10" s="1728">
        <v>0</v>
      </c>
      <c r="P10" s="1729">
        <f>sum(D10:O10)</f>
      </c>
    </row>
    <row r="11">
      <c r="A11" s="1730"/>
      <c r="B11" s="1731" t="s">
        <v>33</v>
      </c>
      <c r="C11" s="1732" t="s">
        <v>45</v>
      </c>
      <c r="D11" s="1733">
        <v>0</v>
      </c>
      <c r="E11" s="1734">
        <v>0</v>
      </c>
      <c r="F11" s="1735">
        <v>0</v>
      </c>
      <c r="G11" s="1736">
        <v>23</v>
      </c>
      <c r="H11" s="1737">
        <v>10</v>
      </c>
      <c r="I11" s="1738">
        <v>0</v>
      </c>
      <c r="J11" s="1739">
        <v>20</v>
      </c>
      <c r="K11" s="1740">
        <v>0</v>
      </c>
      <c r="L11" s="1741">
        <v>15</v>
      </c>
      <c r="M11" s="1742">
        <v>6</v>
      </c>
      <c r="N11" s="1743">
        <v>32</v>
      </c>
      <c r="O11" s="1744">
        <v>0</v>
      </c>
      <c r="P11" s="1745">
        <f>sum(D11:O11)</f>
      </c>
    </row>
    <row r="12">
      <c r="A12" s="1746"/>
      <c r="B12" s="1747" t="s">
        <v>34</v>
      </c>
      <c r="C12" s="1748" t="s">
        <v>46</v>
      </c>
      <c r="D12" s="1749">
        <v>0</v>
      </c>
      <c r="E12" s="1750">
        <v>4</v>
      </c>
      <c r="F12" s="1751">
        <v>2</v>
      </c>
      <c r="G12" s="1752">
        <v>10</v>
      </c>
      <c r="H12" s="1753">
        <v>108</v>
      </c>
      <c r="I12" s="1754">
        <v>16</v>
      </c>
      <c r="J12" s="1755">
        <v>32</v>
      </c>
      <c r="K12" s="1756">
        <v>2</v>
      </c>
      <c r="L12" s="1757">
        <v>41</v>
      </c>
      <c r="M12" s="1758">
        <v>113</v>
      </c>
      <c r="N12" s="1759">
        <v>50</v>
      </c>
      <c r="O12" s="1760">
        <v>7</v>
      </c>
      <c r="P12" s="1761">
        <f>sum(D12:O12)</f>
      </c>
    </row>
    <row r="13">
      <c r="A13" s="1762"/>
      <c r="B13" s="1763" t="s">
        <v>35</v>
      </c>
      <c r="C13" s="1764" t="s">
        <v>47</v>
      </c>
      <c r="D13" s="1765">
        <v>0</v>
      </c>
      <c r="E13" s="1766">
        <v>3</v>
      </c>
      <c r="F13" s="1767">
        <v>2</v>
      </c>
      <c r="G13" s="1768">
        <v>0</v>
      </c>
      <c r="H13" s="1769">
        <v>2</v>
      </c>
      <c r="I13" s="1770">
        <v>27</v>
      </c>
      <c r="J13" s="1771">
        <v>3</v>
      </c>
      <c r="K13" s="1772">
        <v>0</v>
      </c>
      <c r="L13" s="1773">
        <v>2</v>
      </c>
      <c r="M13" s="1774">
        <v>28</v>
      </c>
      <c r="N13" s="1775">
        <v>9</v>
      </c>
      <c r="O13" s="1776">
        <v>0</v>
      </c>
      <c r="P13" s="1777">
        <f>sum(D13:O13)</f>
      </c>
    </row>
    <row r="14">
      <c r="A14" s="1778"/>
      <c r="B14" s="1779" t="s">
        <v>36</v>
      </c>
      <c r="C14" s="1780" t="s">
        <v>48</v>
      </c>
      <c r="D14" s="1781">
        <v>0</v>
      </c>
      <c r="E14" s="1782">
        <v>1</v>
      </c>
      <c r="F14" s="1783">
        <v>0</v>
      </c>
      <c r="G14" s="1784">
        <v>0</v>
      </c>
      <c r="H14" s="1785">
        <v>2</v>
      </c>
      <c r="I14" s="1786">
        <v>2</v>
      </c>
      <c r="J14" s="1787">
        <v>16</v>
      </c>
      <c r="K14" s="1788">
        <v>1</v>
      </c>
      <c r="L14" s="1789">
        <v>1</v>
      </c>
      <c r="M14" s="1790">
        <v>7</v>
      </c>
      <c r="N14" s="1791">
        <v>5</v>
      </c>
      <c r="O14" s="1792">
        <v>0</v>
      </c>
      <c r="P14" s="1793">
        <f>sum(D14:O14)</f>
      </c>
    </row>
    <row r="15">
      <c r="A15" s="1794"/>
      <c r="B15" s="1795" t="s">
        <v>37</v>
      </c>
      <c r="C15" s="1796" t="s">
        <v>49</v>
      </c>
      <c r="D15" s="1797">
        <v>0</v>
      </c>
      <c r="E15" s="1798">
        <v>0</v>
      </c>
      <c r="F15" s="1799">
        <v>0</v>
      </c>
      <c r="G15" s="1800">
        <v>0</v>
      </c>
      <c r="H15" s="1801">
        <v>4</v>
      </c>
      <c r="I15" s="1802">
        <v>3</v>
      </c>
      <c r="J15" s="1803">
        <v>9</v>
      </c>
      <c r="K15" s="1804">
        <v>0</v>
      </c>
      <c r="L15" s="1805">
        <v>5</v>
      </c>
      <c r="M15" s="1806">
        <v>10</v>
      </c>
      <c r="N15" s="1807">
        <v>3</v>
      </c>
      <c r="O15" s="1808">
        <v>2</v>
      </c>
      <c r="P15" s="1809">
        <f>sum(D15:O15)</f>
      </c>
    </row>
    <row r="16">
      <c r="A16" s="1810"/>
      <c r="B16" s="1811" t="s">
        <v>38</v>
      </c>
      <c r="C16" s="1812" t="s">
        <v>50</v>
      </c>
      <c r="D16" s="1813">
        <v>0</v>
      </c>
      <c r="E16" s="1814">
        <v>0</v>
      </c>
      <c r="F16" s="1815">
        <v>0</v>
      </c>
      <c r="G16" s="1816">
        <v>0</v>
      </c>
      <c r="H16" s="1817">
        <v>1</v>
      </c>
      <c r="I16" s="1818">
        <v>1</v>
      </c>
      <c r="J16" s="1819">
        <v>2</v>
      </c>
      <c r="K16" s="1820">
        <v>0</v>
      </c>
      <c r="L16" s="1821">
        <v>23</v>
      </c>
      <c r="M16" s="1822">
        <v>16</v>
      </c>
      <c r="N16" s="1823">
        <v>5</v>
      </c>
      <c r="O16" s="1824">
        <v>2</v>
      </c>
      <c r="P16" s="1825">
        <f>sum(D16:O16)</f>
      </c>
    </row>
    <row r="17">
      <c r="A17" s="1826"/>
      <c r="B17" s="1827" t="s">
        <v>39</v>
      </c>
      <c r="C17" s="1828" t="s">
        <v>51</v>
      </c>
      <c r="D17" s="1829">
        <v>0</v>
      </c>
      <c r="E17" s="1830">
        <v>0</v>
      </c>
      <c r="F17" s="1831">
        <v>0</v>
      </c>
      <c r="G17" s="1832">
        <v>0</v>
      </c>
      <c r="H17" s="1833">
        <v>24</v>
      </c>
      <c r="I17" s="1834">
        <v>7</v>
      </c>
      <c r="J17" s="1835">
        <v>13</v>
      </c>
      <c r="K17" s="1836">
        <v>3</v>
      </c>
      <c r="L17" s="1837">
        <v>25</v>
      </c>
      <c r="M17" s="1838">
        <v>239</v>
      </c>
      <c r="N17" s="1839">
        <v>24</v>
      </c>
      <c r="O17" s="1840">
        <v>1</v>
      </c>
      <c r="P17" s="1841">
        <f>sum(D17:O17)</f>
      </c>
    </row>
    <row r="18">
      <c r="A18" s="1842"/>
      <c r="B18" s="1843" t="s">
        <v>40</v>
      </c>
      <c r="C18" s="1844" t="s">
        <v>52</v>
      </c>
      <c r="D18" s="1845">
        <v>0</v>
      </c>
      <c r="E18" s="1846">
        <v>0</v>
      </c>
      <c r="F18" s="1847">
        <v>0</v>
      </c>
      <c r="G18" s="1848">
        <v>0</v>
      </c>
      <c r="H18" s="1849">
        <v>0</v>
      </c>
      <c r="I18" s="1850">
        <v>3</v>
      </c>
      <c r="J18" s="1851">
        <v>2</v>
      </c>
      <c r="K18" s="1852">
        <v>0</v>
      </c>
      <c r="L18" s="1853">
        <v>2</v>
      </c>
      <c r="M18" s="1854">
        <v>7</v>
      </c>
      <c r="N18" s="1855">
        <v>16</v>
      </c>
      <c r="O18" s="1856">
        <v>0</v>
      </c>
      <c r="P18" s="1857">
        <f>sum(D18:O18)</f>
      </c>
    </row>
    <row r="19">
      <c r="A19" s="1858"/>
      <c r="B19" s="1859" t="s">
        <v>41</v>
      </c>
      <c r="C19" s="1860" t="s">
        <v>53</v>
      </c>
      <c r="D19" s="1861">
        <v>0</v>
      </c>
      <c r="E19" s="1862">
        <v>0</v>
      </c>
      <c r="F19" s="1863">
        <v>0</v>
      </c>
      <c r="G19" s="1864">
        <v>3</v>
      </c>
      <c r="H19" s="1865">
        <v>3</v>
      </c>
      <c r="I19" s="1866">
        <v>5</v>
      </c>
      <c r="J19" s="1867">
        <v>1</v>
      </c>
      <c r="K19" s="1868">
        <v>0</v>
      </c>
      <c r="L19" s="1869">
        <v>4</v>
      </c>
      <c r="M19" s="1870">
        <v>15</v>
      </c>
      <c r="N19" s="1871">
        <v>8</v>
      </c>
      <c r="O19" s="1872">
        <v>0</v>
      </c>
      <c r="P19" s="1873">
        <f>sum(D19:O19)</f>
      </c>
    </row>
    <row r="20">
      <c r="A20" s="1874"/>
      <c r="B20" s="1875"/>
      <c r="C20" s="1876"/>
      <c r="D20" s="1877">
        <f>sum(D8:D19)</f>
      </c>
      <c r="E20" s="1878">
        <f>sum(E8:E19)</f>
      </c>
      <c r="F20" s="1879">
        <f>sum(F8:F19)</f>
      </c>
      <c r="G20" s="1880">
        <f>sum(G8:G19)</f>
      </c>
      <c r="H20" s="1881">
        <f>sum(H8:H19)</f>
      </c>
      <c r="I20" s="1882">
        <f>sum(I8:I19)</f>
      </c>
      <c r="J20" s="1883">
        <f>sum(J8:J19)</f>
      </c>
      <c r="K20" s="1884">
        <f>sum(K8:K19)</f>
      </c>
      <c r="L20" s="1885">
        <f>sum(L8:L19)</f>
      </c>
      <c r="M20" s="1886">
        <f>sum(M8:M19)</f>
      </c>
      <c r="N20" s="1887">
        <f>sum(N8:N19)</f>
      </c>
      <c r="O20" s="1888">
        <f>sum(O8:O19)</f>
      </c>
      <c r="P20" s="1889">
        <f>sum(P8:P19)</f>
      </c>
    </row>
    <row r="21">
      <c r="A21" s="1890"/>
      <c r="B21" s="1891"/>
      <c r="C21" s="1892"/>
      <c r="D21" s="1893"/>
      <c r="E21" s="1894"/>
      <c r="F21" s="1895"/>
      <c r="G21" s="1896"/>
      <c r="H21" s="1897"/>
      <c r="I21" s="1898"/>
      <c r="J21" s="1899"/>
      <c r="K21" s="1900"/>
      <c r="L21" s="1901"/>
      <c r="M21" s="1902"/>
      <c r="N21" s="1903"/>
      <c r="O21" s="1904"/>
      <c r="P21" s="1905"/>
    </row>
    <row r="22">
      <c r="A22" s="1906"/>
      <c r="B22" s="1907"/>
      <c r="C22" s="1908"/>
      <c r="D22" s="1909"/>
      <c r="E22" s="1910"/>
      <c r="F22" s="1911"/>
      <c r="G22" s="1912"/>
      <c r="H22" s="1913"/>
      <c r="I22" s="1914"/>
      <c r="J22" s="1915"/>
      <c r="K22" s="1916"/>
      <c r="L22" s="1917"/>
      <c r="M22" s="1918"/>
      <c r="N22" s="1919"/>
      <c r="O22" s="1920"/>
      <c r="P22" s="1921"/>
    </row>
  </sheetData>
  <mergeCells count="4">
    <mergeCell ref="A3:P3"/>
    <mergeCell ref="A5:P5"/>
    <mergeCell ref="D6:O6"/>
    <mergeCell ref="A8:A19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FormatPr defaultRowHeight="15"/>
  <sheetData>
    <row r="1">
      <c r="A1" s="2187"/>
      <c r="B1" s="2188"/>
      <c r="C1" s="2189"/>
      <c r="D1" s="2190"/>
      <c r="E1" s="2191"/>
      <c r="F1" s="2192"/>
      <c r="G1" s="2193"/>
      <c r="H1" s="2194"/>
      <c r="I1" s="2195"/>
    </row>
    <row r="2">
      <c r="A2" s="2196"/>
      <c r="B2" s="2197"/>
      <c r="C2" s="2198"/>
      <c r="D2" s="2199"/>
      <c r="E2" s="2200"/>
      <c r="F2" s="2201"/>
      <c r="G2" s="2202"/>
      <c r="H2" s="2203"/>
      <c r="I2" s="2204"/>
    </row>
    <row r="3">
      <c r="A3" s="2205" t="s">
        <v>65</v>
      </c>
      <c r="B3" s="2206"/>
      <c r="C3" s="2207"/>
      <c r="D3" s="2208"/>
      <c r="E3" s="2209"/>
      <c r="F3" s="2210"/>
      <c r="G3" s="2211"/>
      <c r="H3" s="2212"/>
      <c r="I3" s="2213"/>
    </row>
    <row r="4">
      <c r="A4" s="2214"/>
      <c r="B4" s="2215"/>
      <c r="C4" s="2216"/>
      <c r="D4" s="2217"/>
      <c r="E4" s="2218"/>
      <c r="F4" s="2219"/>
      <c r="G4" s="2220"/>
      <c r="H4" s="2221"/>
      <c r="I4" s="2222"/>
    </row>
    <row r="5">
      <c r="A5" s="2223" t="s">
        <v>57</v>
      </c>
      <c r="B5" s="2224"/>
      <c r="C5" s="2225"/>
      <c r="D5" s="2226"/>
      <c r="E5" s="2227"/>
      <c r="F5" s="2228"/>
      <c r="G5" s="2229"/>
      <c r="H5" s="2230"/>
      <c r="I5" s="2231"/>
    </row>
    <row r="6">
      <c r="A6" s="2232"/>
      <c r="B6" s="2233"/>
      <c r="C6" s="2234"/>
      <c r="D6" s="2235"/>
      <c r="E6" s="2236"/>
      <c r="F6" s="2237"/>
      <c r="G6" s="2238"/>
      <c r="H6" s="2239"/>
      <c r="I6" s="2240"/>
    </row>
    <row r="7">
      <c r="A7" s="2241"/>
      <c r="B7" s="2242"/>
      <c r="C7" s="2243"/>
      <c r="D7" s="2244"/>
      <c r="E7" s="2245"/>
      <c r="F7" s="2246"/>
      <c r="G7" s="2247"/>
      <c r="H7" s="2248"/>
      <c r="I7" s="2249"/>
    </row>
    <row r="8">
      <c r="A8" s="2250"/>
      <c r="B8" s="2251"/>
      <c r="C8" s="2252"/>
      <c r="D8" s="2253"/>
      <c r="E8" s="2254"/>
      <c r="F8" s="2255"/>
      <c r="G8" s="2256"/>
      <c r="H8" s="2257"/>
      <c r="I8" s="2258"/>
    </row>
    <row r="9">
      <c r="A9" s="2259" t="s">
        <v>1</v>
      </c>
      <c r="B9" s="2260"/>
      <c r="C9" s="2261">
        <v>208</v>
      </c>
      <c r="D9" s="2262"/>
      <c r="E9" s="2263">
        <v>626</v>
      </c>
      <c r="F9" s="2264"/>
      <c r="G9" s="2265"/>
      <c r="H9" s="2266"/>
      <c r="I9" s="2267"/>
    </row>
    <row r="10">
      <c r="A10" s="2268" t="s">
        <v>2</v>
      </c>
      <c r="B10" s="2269"/>
      <c r="C10" s="2270" t="s">
        <v>3</v>
      </c>
      <c r="D10" s="2271"/>
      <c r="E10" s="2272" t="s">
        <v>4</v>
      </c>
      <c r="F10" s="2273"/>
      <c r="G10" s="2274"/>
      <c r="H10" s="2275"/>
      <c r="I10" s="2276"/>
    </row>
    <row r="11">
      <c r="A11" s="2277"/>
      <c r="B11" s="2278"/>
      <c r="C11" s="2279" t="s">
        <v>6</v>
      </c>
      <c r="D11" s="2280" t="s">
        <v>58</v>
      </c>
      <c r="E11" s="2281" t="s">
        <v>6</v>
      </c>
      <c r="F11" s="2282" t="s">
        <v>58</v>
      </c>
      <c r="G11" s="2283"/>
      <c r="H11" s="2284"/>
      <c r="I11" s="2285"/>
    </row>
    <row r="12">
      <c r="A12" s="2286" t="s">
        <v>59</v>
      </c>
      <c r="B12" s="2287" t="s">
        <v>42</v>
      </c>
      <c r="C12" s="2288">
        <v>0.31167061132593799</v>
      </c>
      <c r="D12" s="2289">
        <v>0.18115927886919911</v>
      </c>
      <c r="E12" s="2290">
        <v>0.2952933903581228</v>
      </c>
      <c r="F12" s="2291">
        <v>0.12912772780819029</v>
      </c>
      <c r="G12" s="2292"/>
      <c r="H12" s="2293"/>
      <c r="I12" s="2294"/>
    </row>
    <row r="13">
      <c r="A13" s="2295" t="s">
        <v>60</v>
      </c>
      <c r="B13" s="2296" t="s">
        <v>43</v>
      </c>
      <c r="C13" s="2297">
        <v>0.25564441745742578</v>
      </c>
      <c r="D13" s="2298">
        <v>0.16724630285167361</v>
      </c>
      <c r="E13" s="2299">
        <v>0.27964239691595388</v>
      </c>
      <c r="F13" s="2300">
        <v>0.1963104121470636</v>
      </c>
      <c r="G13" s="2301"/>
      <c r="H13" s="2302"/>
      <c r="I13" s="2303"/>
    </row>
    <row r="14">
      <c r="A14" s="2304"/>
      <c r="B14" s="2305"/>
      <c r="C14" s="2306"/>
      <c r="D14" s="2307"/>
      <c r="E14" s="2308"/>
      <c r="F14" s="2309"/>
      <c r="G14" s="2310"/>
      <c r="H14" s="2311"/>
      <c r="I14" s="2312"/>
    </row>
    <row r="15">
      <c r="A15" s="2313" t="s">
        <v>61</v>
      </c>
      <c r="B15" s="2314" t="s">
        <v>62</v>
      </c>
      <c r="C15" s="2315">
        <f>.2556444174574258 - .311670611325938</f>
      </c>
      <c r="D15" s="2316">
        <f>IF(.0004084357638331&gt;=0.10,"",IF(.0004084357638331&gt;=0.05,"*",IF(.0004084357638331&gt;=0.01,"**",IF(.0004084357638331&gt;=0,"***",""))))</f>
      </c>
      <c r="E15" s="2317">
        <f>.2796423969159539 - .2952933903581228</f>
      </c>
      <c r="F15" s="2318">
        <f>IF(.0689359846576507&gt;=0.10,"",IF(.0689359846576507&gt;=0.05,"*",IF(.0689359846576507&gt;=0.01,"**",IF(.0689359846576507&gt;=0,"***",""))))</f>
      </c>
      <c r="G15" s="2319"/>
      <c r="H15" s="2320"/>
      <c r="I15" s="2321"/>
    </row>
    <row r="16">
      <c r="A16" s="2322" t="s">
        <v>63</v>
      </c>
      <c r="B16" s="2323"/>
      <c r="C16" s="2324">
        <v>0.00040843576383309998</v>
      </c>
      <c r="D16" s="2325"/>
      <c r="E16" s="2326">
        <v>0.068935984657650703</v>
      </c>
      <c r="F16" s="2327"/>
      <c r="G16" s="2328"/>
      <c r="H16" s="2329"/>
      <c r="I16" s="2330"/>
    </row>
    <row r="17">
      <c r="A17" s="2331"/>
      <c r="B17" s="2332"/>
      <c r="C17" s="2333"/>
      <c r="D17" s="2334"/>
      <c r="E17" s="2335"/>
      <c r="F17" s="2336"/>
      <c r="G17" s="2337"/>
      <c r="H17" s="2338"/>
      <c r="I17" s="2339"/>
    </row>
    <row r="18">
      <c r="A18" s="2340" t="s">
        <v>64</v>
      </c>
      <c r="B18" s="2341"/>
      <c r="C18" s="2342">
        <f>-.0560261938685122 - -.0156509934421689</f>
      </c>
      <c r="D18" s="2343"/>
      <c r="E18" s="2344">
        <f>IF(.0205784870784478&gt;=0.10,"",IF(.0205784870784478&gt;=0.05,"*",IF(.0205784870784478&gt;=0.01,"**",IF(.0205784870784478&gt;=0,"***",""))))</f>
      </c>
      <c r="F18" s="2345"/>
      <c r="G18" s="2346"/>
      <c r="H18" s="2347"/>
      <c r="I18" s="2348"/>
    </row>
    <row r="19">
      <c r="A19" s="2349" t="s">
        <v>63</v>
      </c>
      <c r="B19" s="2350"/>
      <c r="C19" s="2351">
        <v>0.0205784870784478</v>
      </c>
      <c r="D19" s="2352"/>
      <c r="E19" s="2353"/>
      <c r="F19" s="2354"/>
      <c r="G19" s="2355"/>
      <c r="H19" s="2356"/>
      <c r="I19" s="2357"/>
    </row>
  </sheetData>
  <mergeCells count="11">
    <mergeCell ref="A5:F5"/>
    <mergeCell ref="C9:D9"/>
    <mergeCell ref="E9:F9"/>
    <mergeCell ref="C10:D10"/>
    <mergeCell ref="E10:F10"/>
    <mergeCell ref="C16:D16"/>
    <mergeCell ref="E16:F16"/>
    <mergeCell ref="C18:D18"/>
    <mergeCell ref="E18:F18"/>
    <mergeCell ref="C19:F19"/>
    <mergeCell ref="A3:F3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H17"/>
  <sheetFormatPr defaultRowHeight="15"/>
  <sheetData>
    <row r="1">
      <c r="A1" s="2634"/>
      <c r="B1" s="2635"/>
      <c r="C1" s="2636"/>
      <c r="D1" s="2637"/>
      <c r="E1" s="2638"/>
      <c r="F1" s="2639"/>
      <c r="G1" s="2640"/>
      <c r="H1" s="2641"/>
    </row>
    <row r="2">
      <c r="A2" s="2642"/>
      <c r="B2" s="2643"/>
      <c r="C2" s="2644"/>
      <c r="D2" s="2645"/>
      <c r="E2" s="2646"/>
      <c r="F2" s="2647"/>
      <c r="G2" s="2648"/>
      <c r="H2" s="2649"/>
    </row>
    <row r="3">
      <c r="A3" s="2650" t="s">
        <v>77</v>
      </c>
      <c r="B3" s="2651"/>
      <c r="C3" s="2652"/>
      <c r="D3" s="2653"/>
      <c r="E3" s="2654"/>
      <c r="F3" s="2655"/>
      <c r="G3" s="2656"/>
      <c r="H3" s="2657"/>
    </row>
    <row r="4">
      <c r="A4" s="2658"/>
      <c r="B4" s="2659"/>
      <c r="C4" s="2660"/>
      <c r="D4" s="2661"/>
      <c r="E4" s="2662"/>
      <c r="F4" s="2663"/>
      <c r="G4" s="2664"/>
      <c r="H4" s="2665"/>
    </row>
    <row r="5">
      <c r="A5" s="2666" t="s">
        <v>66</v>
      </c>
      <c r="B5" s="2667"/>
      <c r="C5" s="2668"/>
      <c r="D5" s="2669"/>
      <c r="E5" s="2670"/>
      <c r="F5" s="2671"/>
      <c r="G5" s="2672"/>
      <c r="H5" s="2673"/>
    </row>
    <row r="6">
      <c r="A6" s="2674" t="s">
        <v>67</v>
      </c>
      <c r="B6" s="2675" t="s">
        <v>60</v>
      </c>
      <c r="C6" s="2676"/>
      <c r="D6" s="2677"/>
      <c r="E6" s="2678"/>
      <c r="F6" s="2679" t="s">
        <v>9</v>
      </c>
      <c r="G6" s="2680"/>
      <c r="H6" s="2681"/>
    </row>
    <row r="7">
      <c r="A7" s="2682"/>
      <c r="B7" s="2683" t="s">
        <v>68</v>
      </c>
      <c r="C7" s="2684"/>
      <c r="D7" s="2685" t="s">
        <v>63</v>
      </c>
      <c r="E7" s="2686"/>
      <c r="F7" s="2687" t="s">
        <v>68</v>
      </c>
      <c r="G7" s="2688"/>
      <c r="H7" s="2689" t="s">
        <v>63</v>
      </c>
    </row>
    <row r="8">
      <c r="A8" s="2690" t="s">
        <v>2</v>
      </c>
      <c r="B8" s="2691">
        <v>-0.027718546680461201</v>
      </c>
      <c r="C8" s="2692">
        <f>IF(.0746941815946304&gt;=0.10,"",IF(.0746941815946304&gt;=0.05,"*",IF(.0746941815946304&gt;=0.01,"**",IF(.0746941815946304&gt;=0,"***",""))))</f>
      </c>
      <c r="D8" s="2693">
        <v>0.074694181594630399</v>
      </c>
      <c r="E8" s="2694"/>
      <c r="F8" s="2695">
        <v>-0.11308229846543449</v>
      </c>
      <c r="G8" s="2696">
        <f>IF(.0223603250622508&gt;=0.10,"",IF(.0223603250622508&gt;=0.05,"*",IF(.0223603250622508&gt;=0.01,"**",IF(.0223603250622508&gt;=0,"***",""))))</f>
      </c>
      <c r="H8" s="2697">
        <v>0.022360325062250799</v>
      </c>
    </row>
    <row r="9">
      <c r="A9" s="2698"/>
      <c r="B9" s="2699"/>
      <c r="C9" s="2700"/>
      <c r="D9" s="2701"/>
      <c r="E9" s="2702"/>
      <c r="F9" s="2703"/>
      <c r="G9" s="2704"/>
      <c r="H9" s="2705"/>
    </row>
    <row r="10">
      <c r="A10" s="2706" t="s">
        <v>12</v>
      </c>
      <c r="B10" s="2707">
        <v>-0.039980558629640499</v>
      </c>
      <c r="C10" s="2708">
        <f>IF(.4214185088389717&gt;=0.10,"",IF(.4214185088389717&gt;=0.05,"*",IF(.4214185088389717&gt;=0.01,"**",IF(.4214185088389717&gt;=0,"***",""))))</f>
      </c>
      <c r="D10" s="2709">
        <v>0.42141850883897169</v>
      </c>
      <c r="E10" s="2710"/>
      <c r="F10" s="2711">
        <v>-0.1630530861924544</v>
      </c>
      <c r="G10" s="2712">
        <f>IF(.3715065728844855&gt;=0.10,"",IF(.3715065728844855&gt;=0.05,"*",IF(.3715065728844855&gt;=0.01,"**",IF(.3715065728844855&gt;=0,"***",""))))</f>
      </c>
      <c r="H10" s="2713">
        <v>0.37150657288448552</v>
      </c>
    </row>
    <row r="11">
      <c r="A11" s="2714" t="s">
        <v>10</v>
      </c>
      <c r="B11" s="2715">
        <v>-0.015913911208510101</v>
      </c>
      <c r="C11" s="2716">
        <f>IF(.2819783961112154&gt;=0.10,"",IF(.2819783961112154&gt;=0.05,"*",IF(.2819783961112154&gt;=0.01,"**",IF(.2819783961112154&gt;=0,"***",""))))</f>
      </c>
      <c r="D11" s="2717">
        <v>0.28197839611121539</v>
      </c>
      <c r="E11" s="2718"/>
      <c r="F11" s="2719">
        <v>-0.027403656402538699</v>
      </c>
      <c r="G11" s="2720">
        <f>IF(.6159563355187505&gt;=0.10,"",IF(.6159563355187505&gt;=0.05,"*",IF(.6159563355187505&gt;=0.01,"**",IF(.6159563355187505&gt;=0,"***",""))))</f>
      </c>
      <c r="H11" s="2721">
        <v>0.61595633551875051</v>
      </c>
    </row>
    <row r="12">
      <c r="A12" s="2722" t="s">
        <v>69</v>
      </c>
      <c r="B12" s="2723" t="s">
        <v>70</v>
      </c>
      <c r="C12" s="2724"/>
      <c r="D12" s="2725"/>
      <c r="E12" s="2726"/>
      <c r="F12" s="2727" t="s">
        <v>70</v>
      </c>
      <c r="G12" s="2728"/>
      <c r="H12" s="2729"/>
    </row>
    <row r="13">
      <c r="A13" s="2730" t="s">
        <v>71</v>
      </c>
      <c r="B13" s="2731" t="s">
        <v>70</v>
      </c>
      <c r="C13" s="2732"/>
      <c r="D13" s="2733"/>
      <c r="E13" s="2734"/>
      <c r="F13" s="2735" t="s">
        <v>70</v>
      </c>
      <c r="G13" s="2736"/>
      <c r="H13" s="2737"/>
    </row>
    <row r="14">
      <c r="A14" s="2738" t="s">
        <v>72</v>
      </c>
      <c r="B14" s="2739" t="s">
        <v>75</v>
      </c>
      <c r="C14" s="2740"/>
      <c r="D14" s="2741"/>
      <c r="E14" s="2742"/>
      <c r="F14" s="2743" t="s">
        <v>75</v>
      </c>
      <c r="G14" s="2744"/>
      <c r="H14" s="2745"/>
    </row>
    <row r="15">
      <c r="A15" s="2746" t="s">
        <v>73</v>
      </c>
      <c r="B15" s="2747" t="s">
        <v>76</v>
      </c>
      <c r="C15" s="2748"/>
      <c r="D15" s="2749"/>
      <c r="E15" s="2750"/>
      <c r="F15" s="2751" t="s">
        <v>76</v>
      </c>
      <c r="G15" s="2752"/>
      <c r="H15" s="2753"/>
    </row>
    <row r="16">
      <c r="A16" s="2754" t="s">
        <v>1</v>
      </c>
      <c r="B16" s="2755">
        <v>834</v>
      </c>
      <c r="C16" s="2756"/>
      <c r="D16" s="2757"/>
      <c r="E16" s="2758"/>
      <c r="F16" s="2759">
        <v>834</v>
      </c>
      <c r="G16" s="2760"/>
      <c r="H16" s="2761"/>
    </row>
    <row r="17">
      <c r="A17" s="2762" t="s">
        <v>74</v>
      </c>
      <c r="B17" s="2763">
        <v>0.1207687408034184</v>
      </c>
      <c r="C17" s="2764"/>
      <c r="D17" s="2765"/>
      <c r="E17" s="2766"/>
      <c r="F17" s="2767">
        <v>0.1135430146168878</v>
      </c>
      <c r="G17" s="2768"/>
      <c r="H17" s="2769"/>
    </row>
  </sheetData>
  <mergeCells count="26">
    <mergeCell ref="A5:H5"/>
    <mergeCell ref="B6:D6"/>
    <mergeCell ref="F6:H6"/>
    <mergeCell ref="B7:C7"/>
    <mergeCell ref="F7:G7"/>
    <mergeCell ref="A8:A9"/>
    <mergeCell ref="B8:B9"/>
    <mergeCell ref="C8:C9"/>
    <mergeCell ref="D8:D9"/>
    <mergeCell ref="E8:E9"/>
    <mergeCell ref="F8:F9"/>
    <mergeCell ref="G8:G9"/>
    <mergeCell ref="H8:H9"/>
    <mergeCell ref="B12:D12"/>
    <mergeCell ref="F12:H12"/>
    <mergeCell ref="B13:D13"/>
    <mergeCell ref="F13:H13"/>
    <mergeCell ref="B14:D14"/>
    <mergeCell ref="F14:H14"/>
    <mergeCell ref="B15:D15"/>
    <mergeCell ref="F15:H15"/>
    <mergeCell ref="B16:D16"/>
    <mergeCell ref="B17:D17"/>
    <mergeCell ref="F16:H16"/>
    <mergeCell ref="F17:H17"/>
    <mergeCell ref="A3:H3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:L22"/>
  <sheetFormatPr defaultRowHeight="15"/>
  <sheetData>
    <row r="1">
      <c r="A1" s="3295"/>
      <c r="B1" s="3296"/>
      <c r="C1" s="3297"/>
      <c r="D1" s="3298"/>
      <c r="E1" s="3299"/>
      <c r="F1" s="3300"/>
      <c r="G1" s="3301"/>
      <c r="H1" s="3302"/>
      <c r="I1" s="3303"/>
      <c r="J1" s="3304"/>
      <c r="K1" s="3305"/>
      <c r="L1" s="3306"/>
    </row>
    <row r="2">
      <c r="A2" s="3307"/>
      <c r="B2" s="3308"/>
      <c r="C2" s="3309"/>
      <c r="D2" s="3310"/>
      <c r="E2" s="3311"/>
      <c r="F2" s="3312"/>
      <c r="G2" s="3313"/>
      <c r="H2" s="3314"/>
      <c r="I2" s="3315"/>
      <c r="J2" s="3316"/>
      <c r="K2" s="3317"/>
      <c r="L2" s="3318"/>
    </row>
    <row r="3">
      <c r="A3" s="3319" t="s">
        <v>97</v>
      </c>
      <c r="B3" s="3320"/>
      <c r="C3" s="3321"/>
      <c r="D3" s="3322"/>
      <c r="E3" s="3323"/>
      <c r="F3" s="3324"/>
      <c r="G3" s="3325"/>
      <c r="H3" s="3326"/>
      <c r="I3" s="3327"/>
      <c r="J3" s="3328"/>
      <c r="K3" s="3329"/>
      <c r="L3" s="3330"/>
    </row>
    <row r="4">
      <c r="A4" s="3331"/>
      <c r="B4" s="3332"/>
      <c r="C4" s="3333"/>
      <c r="D4" s="3334"/>
      <c r="E4" s="3335"/>
      <c r="F4" s="3336"/>
      <c r="G4" s="3337"/>
      <c r="H4" s="3338"/>
      <c r="I4" s="3339"/>
      <c r="J4" s="3340"/>
      <c r="K4" s="3341"/>
      <c r="L4" s="3342"/>
    </row>
    <row r="5">
      <c r="A5" s="3343" t="s">
        <v>78</v>
      </c>
      <c r="B5" s="3344"/>
      <c r="C5" s="3345"/>
      <c r="D5" s="3346"/>
      <c r="E5" s="3347"/>
      <c r="F5" s="3348"/>
      <c r="G5" s="3349"/>
      <c r="H5" s="3350"/>
      <c r="I5" s="3351"/>
      <c r="J5" s="3352"/>
      <c r="K5" s="3353"/>
      <c r="L5" s="3354"/>
    </row>
    <row r="6">
      <c r="A6" s="3355" t="s">
        <v>67</v>
      </c>
      <c r="B6" s="3356" t="s">
        <v>79</v>
      </c>
      <c r="C6" s="3357"/>
      <c r="D6" s="3358"/>
      <c r="E6" s="3359"/>
      <c r="F6" s="3360" t="s">
        <v>79</v>
      </c>
      <c r="G6" s="3361"/>
      <c r="H6" s="3362"/>
      <c r="I6" s="3363"/>
      <c r="J6" s="3364" t="s">
        <v>79</v>
      </c>
      <c r="K6" s="3365"/>
      <c r="L6" s="3366"/>
    </row>
    <row r="7">
      <c r="A7" s="3367"/>
      <c r="B7" s="3368" t="s">
        <v>68</v>
      </c>
      <c r="C7" s="3369"/>
      <c r="D7" s="3370" t="s">
        <v>63</v>
      </c>
      <c r="E7" s="3371"/>
      <c r="F7" s="3372" t="s">
        <v>68</v>
      </c>
      <c r="G7" s="3373"/>
      <c r="H7" s="3374" t="s">
        <v>63</v>
      </c>
      <c r="I7" s="3375"/>
      <c r="J7" s="3376" t="s">
        <v>68</v>
      </c>
      <c r="K7" s="3377"/>
      <c r="L7" s="3378" t="s">
        <v>63</v>
      </c>
    </row>
    <row r="8">
      <c r="A8" s="3379" t="s">
        <v>80</v>
      </c>
      <c r="B8" s="3380">
        <v>-0.0053067894504021003</v>
      </c>
      <c r="C8" s="3381">
        <f>IF(.7774359431605452&gt;=0.10,"",IF(.7774359431605452&gt;=0.05,"*",IF(.7774359431605452&gt;=0.01,"**",IF(.7774359431605452&gt;=0,"***",""))))</f>
      </c>
      <c r="D8" s="3382">
        <v>0.77743594316054521</v>
      </c>
      <c r="E8" s="3383"/>
      <c r="F8" s="3384">
        <v>-0.011245679449276701</v>
      </c>
      <c r="G8" s="3385">
        <f>IF(.5951582721115792&gt;=0.10,"",IF(.5951582721115792&gt;=0.05,"*",IF(.5951582721115792&gt;=0.01,"**",IF(.5951582721115792&gt;=0,"***",""))))</f>
      </c>
      <c r="H8" s="3386">
        <v>0.59515827211157923</v>
      </c>
      <c r="I8" s="3387"/>
      <c r="J8" s="3388">
        <v>-0.0042996640365038996</v>
      </c>
      <c r="K8" s="3389">
        <f>IF(.8432993736279223&gt;=0.10,"",IF(.8432993736279223&gt;=0.05,"*",IF(.8432993736279223&gt;=0.01,"**",IF(.8432993736279223&gt;=0,"***",""))))</f>
      </c>
      <c r="L8" s="3390">
        <v>0.84329937362792229</v>
      </c>
    </row>
    <row r="9">
      <c r="A9" s="3391"/>
      <c r="B9" s="3392"/>
      <c r="C9" s="3393"/>
      <c r="D9" s="3394"/>
      <c r="E9" s="3395"/>
      <c r="F9" s="3396"/>
      <c r="G9" s="3397"/>
      <c r="H9" s="3398"/>
      <c r="I9" s="3399"/>
      <c r="J9" s="3400"/>
      <c r="K9" s="3401"/>
      <c r="L9" s="3402"/>
    </row>
    <row r="10">
      <c r="A10" s="3403" t="s">
        <v>81</v>
      </c>
      <c r="B10" s="3404">
        <v>0.028837778290921899</v>
      </c>
      <c r="C10" s="3405">
        <f>IF(.2469400178824985&gt;=0.10,"",IF(.2469400178824985&gt;=0.05,"*",IF(.2469400178824985&gt;=0.01,"**",IF(.2469400178824985&gt;=0,"***",""))))</f>
      </c>
      <c r="D10" s="3406">
        <v>0.2469400178824985</v>
      </c>
      <c r="E10" s="3407"/>
      <c r="F10" s="3408"/>
      <c r="G10" s="3409"/>
      <c r="H10" s="3410"/>
      <c r="I10" s="3411"/>
      <c r="J10" s="3412"/>
      <c r="K10" s="3413"/>
      <c r="L10" s="3414"/>
    </row>
    <row r="11">
      <c r="A11" s="3415"/>
      <c r="B11" s="3416"/>
      <c r="C11" s="3417"/>
      <c r="D11" s="3418"/>
      <c r="E11" s="3419"/>
      <c r="F11" s="3420"/>
      <c r="G11" s="3421"/>
      <c r="H11" s="3422"/>
      <c r="I11" s="3423"/>
      <c r="J11" s="3424"/>
      <c r="K11" s="3425"/>
      <c r="L11" s="3426"/>
    </row>
    <row r="12">
      <c r="A12" s="3427" t="s">
        <v>82</v>
      </c>
      <c r="B12" s="3428">
        <v>-0.067572325780214798</v>
      </c>
      <c r="C12" s="3429">
        <f>IF(.0231899587869389&gt;=0.10,"",IF(.0231899587869389&gt;=0.05,"*",IF(.0231899587869389&gt;=0.01,"**",IF(.0231899587869389&gt;=0,"***",""))))</f>
      </c>
      <c r="D12" s="3430">
        <v>0.0231899587869389</v>
      </c>
      <c r="E12" s="3431"/>
      <c r="F12" s="3432">
        <v>-0.063382089167846004</v>
      </c>
      <c r="G12" s="3433">
        <f>IF(.0507778243937288&gt;=0.10,"",IF(.0507778243937288&gt;=0.05,"*",IF(.0507778243937288&gt;=0.01,"**",IF(.0507778243937288&gt;=0,"***",""))))</f>
      </c>
      <c r="H12" s="3434">
        <v>0.050777824393728799</v>
      </c>
      <c r="I12" s="3435"/>
      <c r="J12" s="3436">
        <v>-0.077738067745845102</v>
      </c>
      <c r="K12" s="3437">
        <f>IF(.0155073488461561&gt;=0.10,"",IF(.0155073488461561&gt;=0.05,"*",IF(.0155073488461561&gt;=0.01,"**",IF(.0155073488461561&gt;=0,"***",""))))</f>
      </c>
      <c r="L12" s="3438">
        <v>0.015507348846156101</v>
      </c>
    </row>
    <row r="13">
      <c r="A13" s="3439"/>
      <c r="B13" s="3440"/>
      <c r="C13" s="3441"/>
      <c r="D13" s="3442"/>
      <c r="E13" s="3443"/>
      <c r="F13" s="3444"/>
      <c r="G13" s="3445"/>
      <c r="H13" s="3446"/>
      <c r="I13" s="3447"/>
      <c r="J13" s="3448"/>
      <c r="K13" s="3449"/>
      <c r="L13" s="3450"/>
    </row>
    <row r="14">
      <c r="A14" s="3451" t="s">
        <v>71</v>
      </c>
      <c r="B14" s="3452" t="s">
        <v>83</v>
      </c>
      <c r="C14" s="3453"/>
      <c r="D14" s="3454"/>
      <c r="E14" s="3455"/>
      <c r="F14" s="3456" t="s">
        <v>84</v>
      </c>
      <c r="G14" s="3457"/>
      <c r="H14" s="3458"/>
      <c r="I14" s="3459"/>
      <c r="J14" s="3460" t="s">
        <v>84</v>
      </c>
      <c r="K14" s="3461"/>
      <c r="L14" s="3462"/>
    </row>
    <row r="15">
      <c r="A15" s="3463" t="s">
        <v>72</v>
      </c>
      <c r="B15" s="3464" t="s">
        <v>83</v>
      </c>
      <c r="C15" s="3465"/>
      <c r="D15" s="3466"/>
      <c r="E15" s="3467"/>
      <c r="F15" s="3468" t="s">
        <v>85</v>
      </c>
      <c r="G15" s="3469"/>
      <c r="H15" s="3470"/>
      <c r="I15" s="3471"/>
      <c r="J15" s="3472" t="s">
        <v>86</v>
      </c>
      <c r="K15" s="3473"/>
      <c r="L15" s="3474"/>
    </row>
    <row r="16">
      <c r="A16" s="3475" t="s">
        <v>73</v>
      </c>
      <c r="B16" s="3476" t="s">
        <v>87</v>
      </c>
      <c r="C16" s="3477"/>
      <c r="D16" s="3478"/>
      <c r="E16" s="3479"/>
      <c r="F16" s="3480" t="s">
        <v>76</v>
      </c>
      <c r="G16" s="3481"/>
      <c r="H16" s="3482"/>
      <c r="I16" s="3483"/>
      <c r="J16" s="3484" t="s">
        <v>76</v>
      </c>
      <c r="K16" s="3485"/>
      <c r="L16" s="3486"/>
    </row>
    <row r="17">
      <c r="A17" s="3487" t="s">
        <v>1</v>
      </c>
      <c r="B17" s="3488">
        <v>611</v>
      </c>
      <c r="C17" s="3489"/>
      <c r="D17" s="3490"/>
      <c r="E17" s="3491"/>
      <c r="F17" s="3492">
        <v>611</v>
      </c>
      <c r="G17" s="3493"/>
      <c r="H17" s="3494"/>
      <c r="I17" s="3495"/>
      <c r="J17" s="3496">
        <v>611</v>
      </c>
      <c r="K17" s="3497"/>
      <c r="L17" s="3498"/>
    </row>
    <row r="18">
      <c r="A18" s="3499" t="s">
        <v>74</v>
      </c>
      <c r="B18" s="3500">
        <v>0.020192804460612199</v>
      </c>
      <c r="C18" s="3501"/>
      <c r="D18" s="3502"/>
      <c r="E18" s="3503"/>
      <c r="F18" s="3504">
        <v>0.071217064821645096</v>
      </c>
      <c r="G18" s="3505"/>
      <c r="H18" s="3506"/>
      <c r="I18" s="3507"/>
      <c r="J18" s="3508">
        <v>0.080859132805033304</v>
      </c>
      <c r="K18" s="3509"/>
      <c r="L18" s="3510"/>
    </row>
    <row r="19">
      <c r="A19" s="3511" t="s">
        <v>88</v>
      </c>
      <c r="B19" s="3512"/>
      <c r="C19" s="3513"/>
      <c r="D19" s="3514"/>
      <c r="E19" s="3515"/>
      <c r="F19" s="3516"/>
      <c r="G19" s="3517"/>
      <c r="H19" s="3518"/>
      <c r="I19" s="3519"/>
      <c r="J19" s="3520"/>
      <c r="K19" s="3521"/>
      <c r="L19" s="3522"/>
    </row>
    <row r="20">
      <c r="A20" s="3523" t="s">
        <v>89</v>
      </c>
      <c r="B20" s="3524" t="s">
        <v>90</v>
      </c>
      <c r="C20" s="3525"/>
      <c r="D20" s="3526"/>
      <c r="E20" s="3527"/>
      <c r="F20" s="3528" t="s">
        <v>93</v>
      </c>
      <c r="G20" s="3529"/>
      <c r="H20" s="3530"/>
      <c r="I20" s="3531"/>
      <c r="J20" s="3532" t="s">
        <v>95</v>
      </c>
      <c r="K20" s="3533"/>
      <c r="L20" s="3534"/>
    </row>
    <row r="21">
      <c r="A21" s="3535" t="s">
        <v>82</v>
      </c>
      <c r="B21" s="3536" t="s">
        <v>91</v>
      </c>
      <c r="C21" s="3537"/>
      <c r="D21" s="3538"/>
      <c r="E21" s="3539"/>
      <c r="F21" s="3540" t="s">
        <v>94</v>
      </c>
      <c r="G21" s="3541"/>
      <c r="H21" s="3542"/>
      <c r="I21" s="3543"/>
      <c r="J21" s="3544" t="s">
        <v>96</v>
      </c>
      <c r="K21" s="3545"/>
      <c r="L21" s="3546"/>
    </row>
    <row r="22">
      <c r="A22" s="3547" t="s">
        <v>92</v>
      </c>
      <c r="B22" s="3548">
        <f>.2453-.3182</f>
      </c>
      <c r="C22" s="3549">
        <f>IF(.0015351313303203&gt;=0.10,"",IF(.0015351313303203&gt;=0.05,"*",IF(.0015351313303203&gt;=0.01,"**",IF(.0015351313303203&gt;=0,"***",""))))</f>
      </c>
      <c r="D22" s="3550">
        <v>0.0015351313303203001</v>
      </c>
      <c r="E22" s="3551"/>
      <c r="F22" s="3552">
        <f>.2454-.3207</f>
      </c>
      <c r="G22" s="3553">
        <f>IF(.0095561573206926&gt;=0.10,"",IF(.0095561573206926&gt;=0.05,"*",IF(.0095561573206926&gt;=0.01,"**",IF(.0095561573206926&gt;=0,"***",""))))</f>
      </c>
      <c r="H22" s="3554">
        <v>0.0095561573206926001</v>
      </c>
      <c r="I22" s="3555"/>
      <c r="J22" s="3556">
        <f>.2388-.3219</f>
      </c>
      <c r="K22" s="3557">
        <f>IF(.0037867477948413&gt;=0.10,"",IF(.0037867477948413&gt;=0.05,"*",IF(.0037867477948413&gt;=0.01,"**",IF(.0037867477948413&gt;=0,"***",""))))</f>
      </c>
      <c r="L22" s="3558">
        <v>0.0037867477948413</v>
      </c>
    </row>
  </sheetData>
  <mergeCells count="66">
    <mergeCell ref="A5:L5"/>
    <mergeCell ref="B6:D6"/>
    <mergeCell ref="F6:H6"/>
    <mergeCell ref="J6:L6"/>
    <mergeCell ref="B7:C7"/>
    <mergeCell ref="F7:G7"/>
    <mergeCell ref="J7:K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J11"/>
    <mergeCell ref="K10:K11"/>
    <mergeCell ref="L10:L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  <mergeCell ref="L12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  <mergeCell ref="B17:D17"/>
    <mergeCell ref="B18:D18"/>
    <mergeCell ref="A19:L19"/>
    <mergeCell ref="B20:D20"/>
    <mergeCell ref="B21:D21"/>
    <mergeCell ref="F20:H20"/>
    <mergeCell ref="F21:H21"/>
    <mergeCell ref="J20:L20"/>
    <mergeCell ref="J21:L21"/>
    <mergeCell ref="F17:H17"/>
    <mergeCell ref="F18:H18"/>
    <mergeCell ref="J17:L17"/>
    <mergeCell ref="J18:L18"/>
    <mergeCell ref="A3:L3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:D22"/>
  <sheetFormatPr defaultRowHeight="15"/>
  <sheetData>
    <row r="1">
      <c r="A1" s="3733"/>
      <c r="B1" s="3734"/>
      <c r="C1" s="3735"/>
      <c r="D1" s="3736"/>
    </row>
    <row r="2">
      <c r="A2" s="3737"/>
      <c r="B2" s="3738"/>
      <c r="C2" s="3739"/>
      <c r="D2" s="3740"/>
    </row>
    <row r="3">
      <c r="A3" s="3741" t="s">
        <v>97</v>
      </c>
      <c r="B3" s="3742"/>
      <c r="C3" s="3743"/>
      <c r="D3" s="3744"/>
    </row>
    <row r="4">
      <c r="A4" s="3745"/>
      <c r="B4" s="3746"/>
      <c r="C4" s="3747"/>
      <c r="D4" s="3748"/>
    </row>
    <row r="5">
      <c r="A5" s="3749" t="s">
        <v>98</v>
      </c>
      <c r="B5" s="3750"/>
      <c r="C5" s="3751"/>
      <c r="D5" s="3752"/>
    </row>
    <row r="6">
      <c r="A6" s="3753" t="s">
        <v>67</v>
      </c>
      <c r="B6" s="3754" t="s">
        <v>79</v>
      </c>
      <c r="C6" s="3755"/>
      <c r="D6" s="3756"/>
    </row>
    <row r="7">
      <c r="A7" s="3757" t="s">
        <v>99</v>
      </c>
      <c r="B7" s="3758" t="s">
        <v>68</v>
      </c>
      <c r="C7" s="3759"/>
      <c r="D7" s="3760" t="s">
        <v>63</v>
      </c>
    </row>
    <row r="8">
      <c r="A8" s="3761" t="s">
        <v>102</v>
      </c>
      <c r="B8" s="3762">
        <v>-0.058721502120316502</v>
      </c>
      <c r="C8" s="3763">
        <f>IF(.1996148443029847&gt;=0.10,"",IF(.1996148443029847&gt;=0.05,"*",IF(.1996148443029847&gt;=0.01,"**",IF(.1996148443029847&gt;=0,"***",""))))</f>
      </c>
      <c r="D8" s="3764">
        <v>0.19961484430298471</v>
      </c>
    </row>
    <row r="9">
      <c r="A9" s="3765"/>
      <c r="B9" s="3766"/>
      <c r="C9" s="3767"/>
      <c r="D9" s="3768"/>
    </row>
    <row r="10">
      <c r="A10" s="3769" t="s">
        <v>103</v>
      </c>
      <c r="B10" s="3770">
        <v>-0.087211166270386095</v>
      </c>
      <c r="C10" s="3771">
        <f>IF(.043024531595856&gt;=0.10,"",IF(.043024531595856&gt;=0.05,"*",IF(.043024531595856&gt;=0.01,"**",IF(.043024531595856&gt;=0,"***",""))))</f>
      </c>
      <c r="D10" s="3772">
        <v>0.043024531595856001</v>
      </c>
    </row>
    <row r="11">
      <c r="A11" s="3773"/>
      <c r="B11" s="3774"/>
      <c r="C11" s="3775"/>
      <c r="D11" s="3776"/>
    </row>
    <row r="12">
      <c r="A12" s="3777" t="s">
        <v>104</v>
      </c>
      <c r="B12" s="3778">
        <v>-0.068395225233214396</v>
      </c>
      <c r="C12" s="3779">
        <f>IF(.0510888699785502&gt;=0.10,"",IF(.0510888699785502&gt;=0.05,"*",IF(.0510888699785502&gt;=0.01,"**",IF(.0510888699785502&gt;=0,"***",""))))</f>
      </c>
      <c r="D12" s="3780">
        <v>0.051088869978550201</v>
      </c>
    </row>
    <row r="13">
      <c r="A13" s="3781"/>
      <c r="B13" s="3782"/>
      <c r="C13" s="3783"/>
      <c r="D13" s="3784"/>
    </row>
    <row r="14">
      <c r="A14" s="3785" t="s">
        <v>105</v>
      </c>
      <c r="B14" s="3786">
        <v>-0.078796518198212706</v>
      </c>
      <c r="C14" s="3787">
        <f>IF(.0161108583612511&gt;=0.10,"",IF(.0161108583612511&gt;=0.05,"*",IF(.0161108583612511&gt;=0.01,"**",IF(.0161108583612511&gt;=0,"***",""))))</f>
      </c>
      <c r="D14" s="3788">
        <v>0.016110858361251101</v>
      </c>
    </row>
    <row r="15">
      <c r="A15" s="3789"/>
      <c r="B15" s="3790"/>
      <c r="C15" s="3791"/>
      <c r="D15" s="3792"/>
    </row>
    <row r="16">
      <c r="A16" s="3793" t="s">
        <v>106</v>
      </c>
      <c r="B16" s="3794">
        <v>-0.077738067745845102</v>
      </c>
      <c r="C16" s="3795">
        <f>IF(.0155073488461561&gt;=0.10,"",IF(.0155073488461561&gt;=0.05,"*",IF(.0155073488461561&gt;=0.01,"**",IF(.0155073488461561&gt;=0,"***",""))))</f>
      </c>
      <c r="D16" s="3796">
        <v>0.015507348846156101</v>
      </c>
    </row>
    <row r="17">
      <c r="A17" s="3797"/>
      <c r="B17" s="3798"/>
      <c r="C17" s="3799"/>
      <c r="D17" s="3800"/>
    </row>
    <row r="18">
      <c r="A18" s="3801" t="s">
        <v>100</v>
      </c>
      <c r="B18" s="3802" t="s">
        <v>101</v>
      </c>
      <c r="C18" s="3803"/>
      <c r="D18" s="3804"/>
    </row>
    <row r="19">
      <c r="A19" s="3805" t="s">
        <v>72</v>
      </c>
      <c r="B19" s="3806" t="s">
        <v>86</v>
      </c>
      <c r="C19" s="3807"/>
      <c r="D19" s="3808"/>
    </row>
    <row r="20">
      <c r="A20" s="3809" t="s">
        <v>73</v>
      </c>
      <c r="B20" s="3810" t="s">
        <v>76</v>
      </c>
      <c r="C20" s="3811"/>
      <c r="D20" s="3812"/>
    </row>
    <row r="21">
      <c r="A21" s="3813" t="s">
        <v>1</v>
      </c>
      <c r="B21" s="3814" t="s">
        <v>107</v>
      </c>
      <c r="C21" s="3815"/>
      <c r="D21" s="3816"/>
    </row>
    <row r="22">
      <c r="A22" s="3817" t="s">
        <v>74</v>
      </c>
      <c r="B22" s="3818" t="s">
        <v>108</v>
      </c>
      <c r="C22" s="3819"/>
      <c r="D22" s="3820"/>
    </row>
  </sheetData>
  <mergeCells count="29">
    <mergeCell ref="A5:D5"/>
    <mergeCell ref="B6:D6"/>
    <mergeCell ref="B7:C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B21:D21"/>
    <mergeCell ref="B22:D22"/>
    <mergeCell ref="B18:D18"/>
    <mergeCell ref="B19:D19"/>
    <mergeCell ref="B20:D20"/>
    <mergeCell ref="A3:D3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:H50"/>
  <sheetFormatPr defaultRowHeight="15"/>
  <sheetData>
    <row r="1">
      <c r="A1" s="4523"/>
      <c r="B1" s="4524"/>
      <c r="C1" s="4525"/>
      <c r="D1" s="4526"/>
      <c r="E1" s="4527"/>
      <c r="F1" s="4528"/>
      <c r="G1" s="4529"/>
      <c r="H1" s="4530"/>
    </row>
    <row r="2">
      <c r="A2" s="4531"/>
      <c r="B2" s="4532"/>
      <c r="C2" s="4533"/>
      <c r="D2" s="4534"/>
      <c r="E2" s="4535"/>
      <c r="F2" s="4536"/>
      <c r="G2" s="4537"/>
      <c r="H2" s="4538"/>
    </row>
    <row r="3">
      <c r="A3" s="4539" t="s">
        <v>117</v>
      </c>
      <c r="B3" s="4540"/>
      <c r="C3" s="4541"/>
      <c r="D3" s="4542"/>
      <c r="E3" s="4543"/>
      <c r="F3" s="4544"/>
      <c r="G3" s="4545"/>
      <c r="H3" s="4546"/>
    </row>
    <row r="4">
      <c r="A4" s="4547"/>
      <c r="B4" s="4548"/>
      <c r="C4" s="4549"/>
      <c r="D4" s="4550"/>
      <c r="E4" s="4551"/>
      <c r="F4" s="4552"/>
      <c r="G4" s="4553"/>
      <c r="H4" s="4554"/>
    </row>
    <row r="5">
      <c r="A5" s="4555" t="s">
        <v>109</v>
      </c>
      <c r="B5" s="4556"/>
      <c r="C5" s="4557"/>
      <c r="D5" s="4558"/>
      <c r="E5" s="4559"/>
      <c r="F5" s="4560"/>
      <c r="G5" s="4561"/>
      <c r="H5" s="4562"/>
    </row>
    <row r="6">
      <c r="A6" s="4563" t="s">
        <v>67</v>
      </c>
      <c r="B6" s="4564" t="s">
        <v>60</v>
      </c>
      <c r="C6" s="4565"/>
      <c r="D6" s="4566"/>
      <c r="E6" s="4567"/>
      <c r="F6" s="4568" t="s">
        <v>9</v>
      </c>
      <c r="G6" s="4569"/>
      <c r="H6" s="4570"/>
    </row>
    <row r="7">
      <c r="A7" s="4571"/>
      <c r="B7" s="4572" t="s">
        <v>68</v>
      </c>
      <c r="C7" s="4573"/>
      <c r="D7" s="4574" t="s">
        <v>63</v>
      </c>
      <c r="E7" s="4575"/>
      <c r="F7" s="4576" t="s">
        <v>68</v>
      </c>
      <c r="G7" s="4577"/>
      <c r="H7" s="4578" t="s">
        <v>63</v>
      </c>
    </row>
    <row r="8">
      <c r="A8" s="4579" t="s">
        <v>2</v>
      </c>
      <c r="B8" s="4580">
        <v>-0.0400986975331169</v>
      </c>
      <c r="C8" s="4581">
        <f>IF(.0201928930820633&gt;=0.10,"",IF(.0201928930820633&gt;=0.05,"*",IF(.0201928930820633&gt;=0.01,"**",IF(.0201928930820633&gt;=0,"***",""))))</f>
      </c>
      <c r="D8" s="4582">
        <v>0.020192893082063301</v>
      </c>
      <c r="E8" s="4583"/>
      <c r="F8" s="4584">
        <v>-0.13807938481671689</v>
      </c>
      <c r="G8" s="4585">
        <f>IF(.0122767748076309&gt;=0.10,"",IF(.0122767748076309&gt;=0.05,"*",IF(.0122767748076309&gt;=0.01,"**",IF(.0122767748076309&gt;=0,"***",""))))</f>
      </c>
      <c r="H8" s="4586">
        <v>0.0122767748076309</v>
      </c>
    </row>
    <row r="9">
      <c r="A9" s="4587"/>
      <c r="B9" s="4588"/>
      <c r="C9" s="4589"/>
      <c r="D9" s="4590"/>
      <c r="E9" s="4591"/>
      <c r="F9" s="4592"/>
      <c r="G9" s="4593"/>
      <c r="H9" s="4594"/>
    </row>
    <row r="10">
      <c r="A10" s="4595" t="s">
        <v>11</v>
      </c>
      <c r="B10" s="4596">
        <v>-0.036779227733471503</v>
      </c>
      <c r="C10" s="4597">
        <f>IF(.0930862930864237&gt;=0.10,"",IF(.0930862930864237&gt;=0.05,"*",IF(.0930862930864237&gt;=0.01,"**",IF(.0930862930864237&gt;=0,"***",""))))</f>
      </c>
      <c r="D10" s="4598">
        <v>0.093086293086423702</v>
      </c>
      <c r="E10" s="4599"/>
      <c r="F10" s="4600">
        <v>-0.14627269639962259</v>
      </c>
      <c r="G10" s="4601">
        <f>IF(.0581377406763589&gt;=0.10,"",IF(.0581377406763589&gt;=0.05,"*",IF(.0581377406763589&gt;=0.01,"**",IF(.0581377406763589&gt;=0,"***",""))))</f>
      </c>
      <c r="H10" s="4602">
        <v>0.0581377406763589</v>
      </c>
    </row>
    <row r="11">
      <c r="A11" s="4603"/>
      <c r="B11" s="4604"/>
      <c r="C11" s="4605"/>
      <c r="D11" s="4606"/>
      <c r="E11" s="4607"/>
      <c r="F11" s="4608"/>
      <c r="G11" s="4609"/>
      <c r="H11" s="4610"/>
    </row>
    <row r="12">
      <c r="A12" s="4611" t="s">
        <v>110</v>
      </c>
      <c r="B12" s="4612">
        <v>0.058887374099020097</v>
      </c>
      <c r="C12" s="4613">
        <f>IF(.1271140463237868&gt;=0.10,"",IF(.1271140463237868&gt;=0.05,"*",IF(.1271140463237868&gt;=0.01,"**",IF(.1271140463237868&gt;=0,"***",""))))</f>
      </c>
      <c r="D12" s="4614">
        <v>0.12711404632378681</v>
      </c>
      <c r="E12" s="4615"/>
      <c r="F12" s="4616">
        <v>0.13385338609076869</v>
      </c>
      <c r="G12" s="4617">
        <f>IF(.2846234129512668&gt;=0.10,"",IF(.2846234129512668&gt;=0.05,"*",IF(.2846234129512668&gt;=0.01,"**",IF(.2846234129512668&gt;=0,"***",""))))</f>
      </c>
      <c r="H12" s="4618">
        <v>0.28462341295126681</v>
      </c>
    </row>
    <row r="13">
      <c r="A13" s="4619"/>
      <c r="B13" s="4620"/>
      <c r="C13" s="4621"/>
      <c r="D13" s="4622"/>
      <c r="E13" s="4623"/>
      <c r="F13" s="4624"/>
      <c r="G13" s="4625"/>
      <c r="H13" s="4626"/>
    </row>
    <row r="14">
      <c r="A14" s="4627" t="s">
        <v>100</v>
      </c>
      <c r="B14" s="4628" t="s">
        <v>111</v>
      </c>
      <c r="C14" s="4629"/>
      <c r="D14" s="4630"/>
      <c r="E14" s="4631"/>
      <c r="F14" s="4632" t="s">
        <v>111</v>
      </c>
      <c r="G14" s="4633"/>
      <c r="H14" s="4634"/>
    </row>
    <row r="15">
      <c r="A15" s="4635" t="s">
        <v>72</v>
      </c>
      <c r="B15" s="4636" t="s">
        <v>75</v>
      </c>
      <c r="C15" s="4637"/>
      <c r="D15" s="4638"/>
      <c r="E15" s="4639"/>
      <c r="F15" s="4640" t="s">
        <v>75</v>
      </c>
      <c r="G15" s="4641"/>
      <c r="H15" s="4642"/>
    </row>
    <row r="16">
      <c r="A16" s="4643" t="s">
        <v>73</v>
      </c>
      <c r="B16" s="4644" t="s">
        <v>76</v>
      </c>
      <c r="C16" s="4645"/>
      <c r="D16" s="4646"/>
      <c r="E16" s="4647"/>
      <c r="F16" s="4648" t="s">
        <v>76</v>
      </c>
      <c r="G16" s="4649"/>
      <c r="H16" s="4650"/>
    </row>
    <row r="17">
      <c r="A17" s="4651" t="s">
        <v>1</v>
      </c>
      <c r="B17" s="4652">
        <v>834</v>
      </c>
      <c r="C17" s="4653"/>
      <c r="D17" s="4654"/>
      <c r="E17" s="4655"/>
      <c r="F17" s="4656">
        <v>834</v>
      </c>
      <c r="G17" s="4657"/>
      <c r="H17" s="4658"/>
    </row>
    <row r="18">
      <c r="A18" s="4659" t="s">
        <v>74</v>
      </c>
      <c r="B18" s="4660">
        <v>0.1239475147834735</v>
      </c>
      <c r="C18" s="4661"/>
      <c r="D18" s="4662"/>
      <c r="E18" s="4663"/>
      <c r="F18" s="4664">
        <v>0.1170008609725844</v>
      </c>
      <c r="G18" s="4665"/>
      <c r="H18" s="4666"/>
    </row>
    <row r="19">
      <c r="A19" s="4667"/>
      <c r="B19" s="4668"/>
      <c r="C19" s="4669"/>
      <c r="D19" s="4670"/>
      <c r="E19" s="4671"/>
      <c r="F19" s="4672"/>
      <c r="G19" s="4673"/>
      <c r="H19" s="4674"/>
    </row>
    <row r="20">
      <c r="A20" s="4675"/>
      <c r="B20" s="4676"/>
      <c r="C20" s="4677"/>
      <c r="D20" s="4678"/>
      <c r="E20" s="4679"/>
      <c r="F20" s="4680"/>
      <c r="G20" s="4681"/>
      <c r="H20" s="4682"/>
    </row>
    <row r="21">
      <c r="A21" s="4683" t="s">
        <v>112</v>
      </c>
      <c r="B21" s="4684"/>
      <c r="C21" s="4685"/>
      <c r="D21" s="4686"/>
      <c r="E21" s="4687"/>
      <c r="F21" s="4688"/>
      <c r="G21" s="4689"/>
      <c r="H21" s="4690"/>
    </row>
    <row r="22">
      <c r="A22" s="4691" t="s">
        <v>67</v>
      </c>
      <c r="B22" s="4692" t="s">
        <v>60</v>
      </c>
      <c r="C22" s="4693"/>
      <c r="D22" s="4694"/>
      <c r="E22" s="4695"/>
      <c r="F22" s="4696" t="s">
        <v>9</v>
      </c>
      <c r="G22" s="4697"/>
      <c r="H22" s="4698"/>
    </row>
    <row r="23">
      <c r="A23" s="4699"/>
      <c r="B23" s="4700" t="s">
        <v>68</v>
      </c>
      <c r="C23" s="4701"/>
      <c r="D23" s="4702" t="s">
        <v>63</v>
      </c>
      <c r="E23" s="4703"/>
      <c r="F23" s="4704" t="s">
        <v>68</v>
      </c>
      <c r="G23" s="4705"/>
      <c r="H23" s="4706" t="s">
        <v>63</v>
      </c>
    </row>
    <row r="24">
      <c r="A24" s="4707" t="s">
        <v>2</v>
      </c>
      <c r="B24" s="4708">
        <v>-0.040259877699643697</v>
      </c>
      <c r="C24" s="4709">
        <f>IF(.0473068496517466&gt;=0.10,"",IF(.0473068496517466&gt;=0.05,"*",IF(.0473068496517466&gt;=0.01,"**",IF(.0473068496517466&gt;=0,"***",""))))</f>
      </c>
      <c r="D24" s="4710">
        <v>0.047306849651746599</v>
      </c>
      <c r="E24" s="4711"/>
      <c r="F24" s="4712">
        <v>-0.123098716554448</v>
      </c>
      <c r="G24" s="4713">
        <f>IF(.0544147538566389&gt;=0.10,"",IF(.0544147538566389&gt;=0.05,"*",IF(.0544147538566389&gt;=0.01,"**",IF(.0544147538566389&gt;=0,"***",""))))</f>
      </c>
      <c r="H24" s="4714">
        <v>0.054414753856638902</v>
      </c>
    </row>
    <row r="25">
      <c r="A25" s="4715"/>
      <c r="B25" s="4716"/>
      <c r="C25" s="4717"/>
      <c r="D25" s="4718"/>
      <c r="E25" s="4719"/>
      <c r="F25" s="4720"/>
      <c r="G25" s="4721"/>
      <c r="H25" s="4722"/>
    </row>
    <row r="26">
      <c r="A26" s="4723" t="s">
        <v>13</v>
      </c>
      <c r="B26" s="4724">
        <v>-0.025475469836340699</v>
      </c>
      <c r="C26" s="4725">
        <f>IF(.1244739441196168&gt;=0.10,"",IF(.1244739441196168&gt;=0.05,"*",IF(.1244739441196168&gt;=0.01,"**",IF(.1244739441196168&gt;=0,"***",""))))</f>
      </c>
      <c r="D26" s="4726">
        <v>0.12447394411961681</v>
      </c>
      <c r="E26" s="4727"/>
      <c r="F26" s="4728">
        <v>-0.087852645421604703</v>
      </c>
      <c r="G26" s="4729">
        <f>IF(.1247322367231514&gt;=0.10,"",IF(.1247322367231514&gt;=0.05,"*",IF(.1247322367231514&gt;=0.01,"**",IF(.1247322367231514&gt;=0,"***",""))))</f>
      </c>
      <c r="H26" s="4730">
        <v>0.1247322367231514</v>
      </c>
    </row>
    <row r="27">
      <c r="A27" s="4731"/>
      <c r="B27" s="4732"/>
      <c r="C27" s="4733"/>
      <c r="D27" s="4734"/>
      <c r="E27" s="4735"/>
      <c r="F27" s="4736"/>
      <c r="G27" s="4737"/>
      <c r="H27" s="4738"/>
    </row>
    <row r="28">
      <c r="A28" s="4739" t="s">
        <v>113</v>
      </c>
      <c r="B28" s="4740">
        <v>0.030049097479541698</v>
      </c>
      <c r="C28" s="4741">
        <f>IF(.3219475155860177&gt;=0.10,"",IF(.3219475155860177&gt;=0.05,"*",IF(.3219475155860177&gt;=0.01,"**",IF(.3219475155860177&gt;=0,"***",""))))</f>
      </c>
      <c r="D28" s="4742">
        <v>0.3219475155860177</v>
      </c>
      <c r="E28" s="4743"/>
      <c r="F28" s="4744">
        <v>0.035326756415384297</v>
      </c>
      <c r="G28" s="4745">
        <f>IF(.7080852456978008&gt;=0.10,"",IF(.7080852456978008&gt;=0.05,"*",IF(.7080852456978008&gt;=0.01,"**",IF(.7080852456978008&gt;=0,"***",""))))</f>
      </c>
      <c r="H28" s="4746">
        <v>0.70808524569780085</v>
      </c>
    </row>
    <row r="29">
      <c r="A29" s="4747"/>
      <c r="B29" s="4748"/>
      <c r="C29" s="4749"/>
      <c r="D29" s="4750"/>
      <c r="E29" s="4751"/>
      <c r="F29" s="4752"/>
      <c r="G29" s="4753"/>
      <c r="H29" s="4754"/>
    </row>
    <row r="30">
      <c r="A30" s="4755" t="s">
        <v>100</v>
      </c>
      <c r="B30" s="4756" t="s">
        <v>111</v>
      </c>
      <c r="C30" s="4757"/>
      <c r="D30" s="4758"/>
      <c r="E30" s="4759"/>
      <c r="F30" s="4760" t="s">
        <v>111</v>
      </c>
      <c r="G30" s="4761"/>
      <c r="H30" s="4762"/>
    </row>
    <row r="31">
      <c r="A31" s="4763" t="s">
        <v>72</v>
      </c>
      <c r="B31" s="4764" t="s">
        <v>114</v>
      </c>
      <c r="C31" s="4765"/>
      <c r="D31" s="4766"/>
      <c r="E31" s="4767"/>
      <c r="F31" s="4768" t="s">
        <v>114</v>
      </c>
      <c r="G31" s="4769"/>
      <c r="H31" s="4770"/>
    </row>
    <row r="32">
      <c r="A32" s="4771" t="s">
        <v>73</v>
      </c>
      <c r="B32" s="4772" t="s">
        <v>76</v>
      </c>
      <c r="C32" s="4773"/>
      <c r="D32" s="4774"/>
      <c r="E32" s="4775"/>
      <c r="F32" s="4776" t="s">
        <v>76</v>
      </c>
      <c r="G32" s="4777"/>
      <c r="H32" s="4778"/>
    </row>
    <row r="33">
      <c r="A33" s="4779" t="s">
        <v>1</v>
      </c>
      <c r="B33" s="4780">
        <v>834</v>
      </c>
      <c r="C33" s="4781"/>
      <c r="D33" s="4782"/>
      <c r="E33" s="4783"/>
      <c r="F33" s="4784">
        <v>834</v>
      </c>
      <c r="G33" s="4785"/>
      <c r="H33" s="4786"/>
    </row>
    <row r="34">
      <c r="A34" s="4787" t="s">
        <v>74</v>
      </c>
      <c r="B34" s="4788">
        <v>0.12643252203523889</v>
      </c>
      <c r="C34" s="4789"/>
      <c r="D34" s="4790"/>
      <c r="E34" s="4791"/>
      <c r="F34" s="4792">
        <v>0.12747939561938601</v>
      </c>
      <c r="G34" s="4793"/>
      <c r="H34" s="4794"/>
    </row>
    <row r="35">
      <c r="A35" s="4795"/>
      <c r="B35" s="4796"/>
      <c r="C35" s="4797"/>
      <c r="D35" s="4798"/>
      <c r="E35" s="4799"/>
      <c r="F35" s="4800"/>
      <c r="G35" s="4801"/>
      <c r="H35" s="4802"/>
    </row>
    <row r="36">
      <c r="A36" s="4803"/>
      <c r="B36" s="4804"/>
      <c r="C36" s="4805"/>
      <c r="D36" s="4806"/>
      <c r="E36" s="4807"/>
      <c r="F36" s="4808"/>
      <c r="G36" s="4809"/>
      <c r="H36" s="4810"/>
    </row>
    <row r="37">
      <c r="A37" s="4811" t="s">
        <v>115</v>
      </c>
      <c r="B37" s="4812"/>
      <c r="C37" s="4813"/>
      <c r="D37" s="4814"/>
      <c r="E37" s="4815"/>
      <c r="F37" s="4816"/>
      <c r="G37" s="4817"/>
      <c r="H37" s="4818"/>
    </row>
    <row r="38">
      <c r="A38" s="4819" t="s">
        <v>67</v>
      </c>
      <c r="B38" s="4820" t="s">
        <v>60</v>
      </c>
      <c r="C38" s="4821"/>
      <c r="D38" s="4822"/>
      <c r="E38" s="4823"/>
      <c r="F38" s="4824" t="s">
        <v>9</v>
      </c>
      <c r="G38" s="4825"/>
      <c r="H38" s="4826"/>
    </row>
    <row r="39">
      <c r="A39" s="4827"/>
      <c r="B39" s="4828" t="s">
        <v>68</v>
      </c>
      <c r="C39" s="4829"/>
      <c r="D39" s="4830" t="s">
        <v>63</v>
      </c>
      <c r="E39" s="4831"/>
      <c r="F39" s="4832" t="s">
        <v>68</v>
      </c>
      <c r="G39" s="4833"/>
      <c r="H39" s="4834" t="s">
        <v>63</v>
      </c>
    </row>
    <row r="40">
      <c r="A40" s="4835" t="s">
        <v>2</v>
      </c>
      <c r="B40" s="4836">
        <v>-0.024091254928060201</v>
      </c>
      <c r="C40" s="4837">
        <f>IF(.1629254091026544&gt;=0.10,"",IF(.1629254091026544&gt;=0.05,"*",IF(.1629254091026544&gt;=0.01,"**",IF(.1629254091026544&gt;=0,"***",""))))</f>
      </c>
      <c r="D40" s="4838">
        <v>0.16292540910265441</v>
      </c>
      <c r="E40" s="4839"/>
      <c r="F40" s="4840">
        <v>-0.1276518860431797</v>
      </c>
      <c r="G40" s="4841">
        <f>IF(.0216059182257301&gt;=0.10,"",IF(.0216059182257301&gt;=0.05,"*",IF(.0216059182257301&gt;=0.01,"**",IF(.0216059182257301&gt;=0,"***",""))))</f>
      </c>
      <c r="H40" s="4842">
        <v>0.0216059182257301</v>
      </c>
    </row>
    <row r="41">
      <c r="A41" s="4843"/>
      <c r="B41" s="4844"/>
      <c r="C41" s="4845"/>
      <c r="D41" s="4846"/>
      <c r="E41" s="4847"/>
      <c r="F41" s="4848"/>
      <c r="G41" s="4849"/>
      <c r="H41" s="4850"/>
    </row>
    <row r="42">
      <c r="A42" s="4851" t="s">
        <v>10</v>
      </c>
      <c r="B42" s="4852">
        <v>-0.012724234564638901</v>
      </c>
      <c r="C42" s="4853">
        <f>IF(.4808537124265507&gt;=0.10,"",IF(.4808537124265507&gt;=0.05,"*",IF(.4808537124265507&gt;=0.01,"**",IF(.4808537124265507&gt;=0,"***",""))))</f>
      </c>
      <c r="D42" s="4854">
        <v>0.48085371242655067</v>
      </c>
      <c r="E42" s="4855"/>
      <c r="F42" s="4856">
        <v>-0.0551867257660036</v>
      </c>
      <c r="G42" s="4857">
        <f>IF(.4077231523445319&gt;=0.10,"",IF(.4077231523445319&gt;=0.05,"*",IF(.4077231523445319&gt;=0.01,"**",IF(.4077231523445319&gt;=0,"***",""))))</f>
      </c>
      <c r="H42" s="4858">
        <v>0.40772315234453188</v>
      </c>
    </row>
    <row r="43">
      <c r="A43" s="4859"/>
      <c r="B43" s="4860"/>
      <c r="C43" s="4861"/>
      <c r="D43" s="4862"/>
      <c r="E43" s="4863"/>
      <c r="F43" s="4864"/>
      <c r="G43" s="4865"/>
      <c r="H43" s="4866"/>
    </row>
    <row r="44">
      <c r="A44" s="4867" t="s">
        <v>116</v>
      </c>
      <c r="B44" s="4868">
        <v>-0.013057493793198101</v>
      </c>
      <c r="C44" s="4869">
        <f>IF(.6599317870346365&gt;=0.10,"",IF(.6599317870346365&gt;=0.05,"*",IF(.6599317870346365&gt;=0.01,"**",IF(.6599317870346365&gt;=0,"***",""))))</f>
      </c>
      <c r="D44" s="4870">
        <v>0.65993178703463651</v>
      </c>
      <c r="E44" s="4871"/>
      <c r="F44" s="4872">
        <v>0.094158916616615199</v>
      </c>
      <c r="G44" s="4873">
        <f>IF(.4025186233932979&gt;=0.10,"",IF(.4025186233932979&gt;=0.05,"*",IF(.4025186233932979&gt;=0.01,"**",IF(.4025186233932979&gt;=0,"***",""))))</f>
      </c>
      <c r="H44" s="4874">
        <v>0.40251862339329791</v>
      </c>
    </row>
    <row r="45">
      <c r="A45" s="4875"/>
      <c r="B45" s="4876"/>
      <c r="C45" s="4877"/>
      <c r="D45" s="4878"/>
      <c r="E45" s="4879"/>
      <c r="F45" s="4880"/>
      <c r="G45" s="4881"/>
      <c r="H45" s="4882"/>
    </row>
    <row r="46">
      <c r="A46" s="4883" t="s">
        <v>100</v>
      </c>
      <c r="B46" s="4884" t="s">
        <v>111</v>
      </c>
      <c r="C46" s="4885"/>
      <c r="D46" s="4886"/>
      <c r="E46" s="4887"/>
      <c r="F46" s="4888" t="s">
        <v>111</v>
      </c>
      <c r="G46" s="4889"/>
      <c r="H46" s="4890"/>
    </row>
    <row r="47">
      <c r="A47" s="4891" t="s">
        <v>72</v>
      </c>
      <c r="B47" s="4892" t="s">
        <v>75</v>
      </c>
      <c r="C47" s="4893"/>
      <c r="D47" s="4894"/>
      <c r="E47" s="4895"/>
      <c r="F47" s="4896" t="s">
        <v>75</v>
      </c>
      <c r="G47" s="4897"/>
      <c r="H47" s="4898"/>
    </row>
    <row r="48">
      <c r="A48" s="4899" t="s">
        <v>73</v>
      </c>
      <c r="B48" s="4900" t="s">
        <v>76</v>
      </c>
      <c r="C48" s="4901"/>
      <c r="D48" s="4902"/>
      <c r="E48" s="4903"/>
      <c r="F48" s="4904" t="s">
        <v>76</v>
      </c>
      <c r="G48" s="4905"/>
      <c r="H48" s="4906"/>
    </row>
    <row r="49">
      <c r="A49" s="4907" t="s">
        <v>1</v>
      </c>
      <c r="B49" s="4908">
        <v>834</v>
      </c>
      <c r="C49" s="4909"/>
      <c r="D49" s="4910"/>
      <c r="E49" s="4911"/>
      <c r="F49" s="4912">
        <v>834</v>
      </c>
      <c r="G49" s="4913"/>
      <c r="H49" s="4914"/>
    </row>
    <row r="50">
      <c r="A50" s="4915" t="s">
        <v>74</v>
      </c>
      <c r="B50" s="4916">
        <v>0.12099759784024559</v>
      </c>
      <c r="C50" s="4917"/>
      <c r="D50" s="4918"/>
      <c r="E50" s="4919"/>
      <c r="F50" s="4920">
        <v>0.1163336192351081</v>
      </c>
      <c r="G50" s="4921"/>
      <c r="H50" s="4922"/>
    </row>
  </sheetData>
  <mergeCells count="109">
    <mergeCell ref="A5:H5"/>
    <mergeCell ref="B6:D6"/>
    <mergeCell ref="F6:H6"/>
    <mergeCell ref="B7:C7"/>
    <mergeCell ref="F7:G7"/>
    <mergeCell ref="A8:A9"/>
    <mergeCell ref="B8:B9"/>
    <mergeCell ref="C8:C9"/>
    <mergeCell ref="D8:D9"/>
    <mergeCell ref="F8:F9"/>
    <mergeCell ref="G8:G9"/>
    <mergeCell ref="H8:H9"/>
    <mergeCell ref="A10:A11"/>
    <mergeCell ref="B10:B11"/>
    <mergeCell ref="C10:C11"/>
    <mergeCell ref="D10:D11"/>
    <mergeCell ref="F10:F11"/>
    <mergeCell ref="G10:G11"/>
    <mergeCell ref="H10:H11"/>
    <mergeCell ref="A12:A13"/>
    <mergeCell ref="B12:B13"/>
    <mergeCell ref="C12:C13"/>
    <mergeCell ref="D12:D13"/>
    <mergeCell ref="F12:F13"/>
    <mergeCell ref="G12:G13"/>
    <mergeCell ref="H12:H13"/>
    <mergeCell ref="B14:D14"/>
    <mergeCell ref="F14:H14"/>
    <mergeCell ref="B15:D15"/>
    <mergeCell ref="F15:H15"/>
    <mergeCell ref="B16:D16"/>
    <mergeCell ref="F16:H16"/>
    <mergeCell ref="B17:D17"/>
    <mergeCell ref="F17:H17"/>
    <mergeCell ref="B18:D18"/>
    <mergeCell ref="F18:H18"/>
    <mergeCell ref="A21:H21"/>
    <mergeCell ref="B22:D22"/>
    <mergeCell ref="F22:H22"/>
    <mergeCell ref="B23:C23"/>
    <mergeCell ref="F23:G23"/>
    <mergeCell ref="A24:A25"/>
    <mergeCell ref="B24:B25"/>
    <mergeCell ref="C24:C25"/>
    <mergeCell ref="D24:D25"/>
    <mergeCell ref="F24:F25"/>
    <mergeCell ref="G24:G25"/>
    <mergeCell ref="H24:H25"/>
    <mergeCell ref="A26:A27"/>
    <mergeCell ref="B26:B27"/>
    <mergeCell ref="C26:C27"/>
    <mergeCell ref="D26:D27"/>
    <mergeCell ref="F26:F27"/>
    <mergeCell ref="G26:G27"/>
    <mergeCell ref="H26:H27"/>
    <mergeCell ref="A28:A29"/>
    <mergeCell ref="B28:B29"/>
    <mergeCell ref="C28:C29"/>
    <mergeCell ref="D28:D29"/>
    <mergeCell ref="F28:F29"/>
    <mergeCell ref="G28:G29"/>
    <mergeCell ref="H28:H29"/>
    <mergeCell ref="B30:D30"/>
    <mergeCell ref="F30:H30"/>
    <mergeCell ref="B31:D31"/>
    <mergeCell ref="F31:H31"/>
    <mergeCell ref="B32:D32"/>
    <mergeCell ref="F32:H32"/>
    <mergeCell ref="B33:D33"/>
    <mergeCell ref="F33:H33"/>
    <mergeCell ref="B34:D34"/>
    <mergeCell ref="F34:H34"/>
    <mergeCell ref="A37:H37"/>
    <mergeCell ref="B38:D38"/>
    <mergeCell ref="F38:H38"/>
    <mergeCell ref="B39:C39"/>
    <mergeCell ref="F39:G39"/>
    <mergeCell ref="A40:A41"/>
    <mergeCell ref="B40:B41"/>
    <mergeCell ref="C40:C41"/>
    <mergeCell ref="D40:D41"/>
    <mergeCell ref="F40:F41"/>
    <mergeCell ref="G40:G41"/>
    <mergeCell ref="H40:H41"/>
    <mergeCell ref="A42:A43"/>
    <mergeCell ref="B42:B43"/>
    <mergeCell ref="C42:C43"/>
    <mergeCell ref="D42:D43"/>
    <mergeCell ref="F42:F43"/>
    <mergeCell ref="G42:G43"/>
    <mergeCell ref="H42:H43"/>
    <mergeCell ref="A44:A45"/>
    <mergeCell ref="B44:B45"/>
    <mergeCell ref="C44:C45"/>
    <mergeCell ref="D44:D45"/>
    <mergeCell ref="F44:F45"/>
    <mergeCell ref="G44:G45"/>
    <mergeCell ref="H44:H45"/>
    <mergeCell ref="B46:D46"/>
    <mergeCell ref="F46:H46"/>
    <mergeCell ref="B47:D47"/>
    <mergeCell ref="F47:H47"/>
    <mergeCell ref="B48:D48"/>
    <mergeCell ref="F48:H48"/>
    <mergeCell ref="B49:D49"/>
    <mergeCell ref="F49:H49"/>
    <mergeCell ref="B50:D50"/>
    <mergeCell ref="F50:H50"/>
    <mergeCell ref="A3:H3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s="5495"/>
      <c r="B1" s="5496"/>
      <c r="C1" s="5497"/>
      <c r="D1" s="5498"/>
      <c r="E1" s="5499"/>
      <c r="F1" s="5500"/>
      <c r="G1" s="5501"/>
      <c r="H1" s="5502"/>
      <c r="I1" s="5503"/>
      <c r="J1" s="5504"/>
    </row>
    <row r="2">
      <c r="A2" s="5505"/>
      <c r="B2" s="5506"/>
      <c r="C2" s="5507"/>
      <c r="D2" s="5508"/>
      <c r="E2" s="5509"/>
      <c r="F2" s="5510"/>
      <c r="G2" s="5511"/>
      <c r="H2" s="5512"/>
      <c r="I2" s="5513"/>
      <c r="J2" s="5514"/>
    </row>
    <row r="3">
      <c r="A3" s="5515" t="s">
        <v>129</v>
      </c>
      <c r="B3" s="5516"/>
      <c r="C3" s="5517"/>
      <c r="D3" s="5518"/>
      <c r="E3" s="5519"/>
      <c r="F3" s="5520"/>
      <c r="G3" s="5521"/>
      <c r="H3" s="5522"/>
      <c r="I3" s="5523"/>
      <c r="J3" s="5524"/>
    </row>
    <row r="4">
      <c r="A4" s="5525"/>
      <c r="B4" s="5526"/>
      <c r="C4" s="5527"/>
      <c r="D4" s="5528"/>
      <c r="E4" s="5529"/>
      <c r="F4" s="5530"/>
      <c r="G4" s="5531"/>
      <c r="H4" s="5532"/>
      <c r="I4" s="5533"/>
      <c r="J4" s="5534"/>
    </row>
    <row r="5">
      <c r="A5" s="5535" t="s">
        <v>118</v>
      </c>
      <c r="B5" s="5536"/>
      <c r="C5" s="5537"/>
      <c r="D5" s="5538"/>
      <c r="E5" s="5539"/>
      <c r="F5" s="5540"/>
      <c r="G5" s="5541" t="s">
        <v>121</v>
      </c>
      <c r="H5" s="5542"/>
      <c r="I5" s="5543"/>
      <c r="J5" s="5544"/>
    </row>
    <row r="6">
      <c r="A6" s="5545" t="s">
        <v>67</v>
      </c>
      <c r="B6" s="5546" t="s">
        <v>9</v>
      </c>
      <c r="C6" s="5547"/>
      <c r="D6" s="5548"/>
      <c r="E6" s="5549"/>
      <c r="F6" s="5550"/>
      <c r="G6" s="5551" t="s">
        <v>67</v>
      </c>
      <c r="H6" s="5552" t="s">
        <v>9</v>
      </c>
      <c r="I6" s="5553"/>
      <c r="J6" s="5554"/>
    </row>
    <row r="7">
      <c r="A7" s="5555" t="s">
        <v>119</v>
      </c>
      <c r="B7" s="5556" t="s">
        <v>120</v>
      </c>
      <c r="C7" s="5557"/>
      <c r="D7" s="5558"/>
      <c r="E7" s="5559"/>
      <c r="F7" s="5560"/>
      <c r="G7" s="5561" t="s">
        <v>119</v>
      </c>
      <c r="H7" s="5562" t="s">
        <v>122</v>
      </c>
      <c r="I7" s="5563"/>
      <c r="J7" s="5564"/>
    </row>
    <row r="8">
      <c r="A8" s="5565"/>
      <c r="B8" s="5566" t="s">
        <v>68</v>
      </c>
      <c r="C8" s="5567"/>
      <c r="D8" s="5568" t="s">
        <v>63</v>
      </c>
      <c r="E8" s="5569"/>
      <c r="F8" s="5570"/>
      <c r="G8" s="5571"/>
      <c r="H8" s="5572" t="s">
        <v>68</v>
      </c>
      <c r="I8" s="5573"/>
      <c r="J8" s="5574" t="s">
        <v>63</v>
      </c>
    </row>
    <row r="9">
      <c r="A9" s="5575" t="s">
        <v>2</v>
      </c>
      <c r="B9" s="5576">
        <v>-0.11704545183012779</v>
      </c>
      <c r="C9" s="5577">
        <f>IF(.0245399700099382&gt;=0.10,"",IF(.0245399700099382&gt;=0.05,"*",IF(.0245399700099382&gt;=0.01,"**",IF(.0245399700099382&gt;=0,"***",""))))</f>
      </c>
      <c r="D9" s="5578">
        <v>0.024539970009938201</v>
      </c>
      <c r="E9" s="5579"/>
      <c r="F9" s="5580"/>
      <c r="G9" s="5581" t="s">
        <v>2</v>
      </c>
      <c r="H9" s="5582">
        <v>-0.052520525829210699</v>
      </c>
      <c r="I9" s="5583">
        <f>IF(.0835892792815153&gt;=0.10,"",IF(.0835892792815153&gt;=0.05,"*",IF(.0835892792815153&gt;=0.01,"**",IF(.0835892792815153&gt;=0,"***",""))))</f>
      </c>
      <c r="J9" s="5584">
        <v>0.0835892792815153</v>
      </c>
    </row>
    <row r="10">
      <c r="A10" s="5585"/>
      <c r="B10" s="5586"/>
      <c r="C10" s="5587"/>
      <c r="D10" s="5588"/>
      <c r="E10" s="5589"/>
      <c r="F10" s="5590"/>
      <c r="G10" s="5591"/>
      <c r="H10" s="5592"/>
      <c r="I10" s="5593"/>
      <c r="J10" s="5594"/>
    </row>
    <row r="11">
      <c r="A11" s="5595" t="s">
        <v>12</v>
      </c>
      <c r="B11" s="5596">
        <v>-0.16823320324614111</v>
      </c>
      <c r="C11" s="5597">
        <f>IF(.3762795003041166&gt;=0.10,"",IF(.3762795003041166&gt;=0.05,"*",IF(.3762795003041166&gt;=0.01,"**",IF(.3762795003041166&gt;=0,"***",""))))</f>
      </c>
      <c r="D11" s="5598">
        <v>0.37627950030411661</v>
      </c>
      <c r="E11" s="5599"/>
      <c r="F11" s="5600"/>
      <c r="G11" s="5601" t="s">
        <v>12</v>
      </c>
      <c r="H11" s="5602">
        <v>-0.15197137516727369</v>
      </c>
      <c r="I11" s="5603">
        <f>IF(.1553350700627011&gt;=0.10,"",IF(.1553350700627011&gt;=0.05,"*",IF(.1553350700627011&gt;=0.01,"**",IF(.1553350700627011&gt;=0,"***",""))))</f>
      </c>
      <c r="J11" s="5604">
        <v>0.15533507006270111</v>
      </c>
    </row>
    <row r="12">
      <c r="A12" s="5605" t="s">
        <v>10</v>
      </c>
      <c r="B12" s="5606">
        <v>-0.0116406539607442</v>
      </c>
      <c r="C12" s="5607">
        <f>IF(.835177794347999&gt;=0.10,"",IF(.835177794347999&gt;=0.05,"*",IF(.835177794347999&gt;=0.01,"**",IF(.835177794347999&gt;=0,"***",""))))</f>
      </c>
      <c r="D12" s="5608">
        <v>0.83517779434799899</v>
      </c>
      <c r="E12" s="5609"/>
      <c r="F12" s="5610"/>
      <c r="G12" s="5611" t="s">
        <v>10</v>
      </c>
      <c r="H12" s="5612">
        <v>-0.0082646381927994998</v>
      </c>
      <c r="I12" s="5613">
        <f>IF(.7819822398756456&gt;=0.10,"",IF(.7819822398756456&gt;=0.05,"*",IF(.7819822398756456&gt;=0.01,"**",IF(.7819822398756456&gt;=0,"***",""))))</f>
      </c>
      <c r="J12" s="5614">
        <v>0.78198223987564563</v>
      </c>
    </row>
    <row r="13">
      <c r="A13" s="5615" t="s">
        <v>69</v>
      </c>
      <c r="B13" s="5616" t="s">
        <v>70</v>
      </c>
      <c r="C13" s="5617"/>
      <c r="D13" s="5618"/>
      <c r="E13" s="5619"/>
      <c r="F13" s="5620"/>
      <c r="G13" s="5621" t="s">
        <v>69</v>
      </c>
      <c r="H13" s="5622" t="s">
        <v>70</v>
      </c>
      <c r="I13" s="5623"/>
      <c r="J13" s="5624"/>
    </row>
    <row r="14">
      <c r="A14" s="5625" t="s">
        <v>71</v>
      </c>
      <c r="B14" s="5626" t="s">
        <v>70</v>
      </c>
      <c r="C14" s="5627"/>
      <c r="D14" s="5628"/>
      <c r="E14" s="5629"/>
      <c r="F14" s="5630"/>
      <c r="G14" s="5631" t="s">
        <v>71</v>
      </c>
      <c r="H14" s="5632" t="s">
        <v>70</v>
      </c>
      <c r="I14" s="5633"/>
      <c r="J14" s="5634"/>
    </row>
    <row r="15">
      <c r="A15" s="5635" t="s">
        <v>72</v>
      </c>
      <c r="B15" s="5636" t="s">
        <v>75</v>
      </c>
      <c r="C15" s="5637"/>
      <c r="D15" s="5638"/>
      <c r="E15" s="5639"/>
      <c r="F15" s="5640"/>
      <c r="G15" s="5641" t="s">
        <v>72</v>
      </c>
      <c r="H15" s="5642" t="s">
        <v>75</v>
      </c>
      <c r="I15" s="5643"/>
      <c r="J15" s="5644"/>
    </row>
    <row r="16">
      <c r="A16" s="5645" t="s">
        <v>73</v>
      </c>
      <c r="B16" s="5646" t="s">
        <v>76</v>
      </c>
      <c r="C16" s="5647"/>
      <c r="D16" s="5648"/>
      <c r="E16" s="5649"/>
      <c r="F16" s="5650"/>
      <c r="G16" s="5651" t="s">
        <v>73</v>
      </c>
      <c r="H16" s="5652" t="s">
        <v>76</v>
      </c>
      <c r="I16" s="5653"/>
      <c r="J16" s="5654"/>
    </row>
    <row r="17">
      <c r="A17" s="5655" t="s">
        <v>1</v>
      </c>
      <c r="B17" s="5656">
        <v>733</v>
      </c>
      <c r="C17" s="5657"/>
      <c r="D17" s="5658"/>
      <c r="E17" s="5659"/>
      <c r="F17" s="5660"/>
      <c r="G17" s="5661" t="s">
        <v>1</v>
      </c>
      <c r="H17" s="5662">
        <v>506</v>
      </c>
      <c r="I17" s="5663"/>
      <c r="J17" s="5664"/>
    </row>
    <row r="18">
      <c r="A18" s="5665" t="s">
        <v>74</v>
      </c>
      <c r="B18" s="5666">
        <v>0.1227644411524615</v>
      </c>
      <c r="C18" s="5667"/>
      <c r="D18" s="5668"/>
      <c r="E18" s="5669"/>
      <c r="F18" s="5670"/>
      <c r="G18" s="5671" t="s">
        <v>74</v>
      </c>
      <c r="H18" s="5672">
        <v>0.29832682816082989</v>
      </c>
      <c r="I18" s="5673"/>
      <c r="J18" s="5674"/>
    </row>
    <row r="19">
      <c r="A19" s="5675"/>
      <c r="B19" s="5676"/>
      <c r="C19" s="5677"/>
      <c r="D19" s="5678"/>
      <c r="E19" s="5679"/>
      <c r="F19" s="5680"/>
      <c r="G19" s="5681"/>
      <c r="H19" s="5682"/>
      <c r="I19" s="5683"/>
      <c r="J19" s="5684"/>
    </row>
    <row r="20">
      <c r="A20" s="5685" t="s">
        <v>123</v>
      </c>
      <c r="B20" s="5686"/>
      <c r="C20" s="5687"/>
      <c r="D20" s="5688"/>
      <c r="E20" s="5689"/>
      <c r="F20" s="5690"/>
      <c r="G20" s="5691" t="s">
        <v>125</v>
      </c>
      <c r="H20" s="5692"/>
      <c r="I20" s="5693"/>
      <c r="J20" s="5694"/>
    </row>
    <row r="21">
      <c r="A21" s="5695" t="s">
        <v>67</v>
      </c>
      <c r="B21" s="5696" t="s">
        <v>60</v>
      </c>
      <c r="C21" s="5697"/>
      <c r="D21" s="5698"/>
      <c r="E21" s="5699"/>
      <c r="F21" s="5700"/>
      <c r="G21" s="5701" t="s">
        <v>67</v>
      </c>
      <c r="H21" s="5702" t="s">
        <v>126</v>
      </c>
      <c r="I21" s="5703"/>
      <c r="J21" s="5704"/>
    </row>
    <row r="22">
      <c r="A22" s="5705" t="s">
        <v>119</v>
      </c>
      <c r="B22" s="5706" t="s">
        <v>124</v>
      </c>
      <c r="C22" s="5707"/>
      <c r="D22" s="5708"/>
      <c r="E22" s="5709"/>
      <c r="F22" s="5710"/>
      <c r="G22" s="5711"/>
      <c r="H22" s="5712"/>
      <c r="I22" s="5713"/>
      <c r="J22" s="5714"/>
    </row>
    <row r="23">
      <c r="A23" s="5715"/>
      <c r="B23" s="5716" t="s">
        <v>68</v>
      </c>
      <c r="C23" s="5717"/>
      <c r="D23" s="5718" t="s">
        <v>63</v>
      </c>
      <c r="E23" s="5719"/>
      <c r="F23" s="5720"/>
      <c r="G23" s="5721"/>
      <c r="H23" s="5722" t="s">
        <v>68</v>
      </c>
      <c r="I23" s="5723"/>
      <c r="J23" s="5724" t="s">
        <v>63</v>
      </c>
    </row>
    <row r="24">
      <c r="A24" s="5725" t="s">
        <v>5</v>
      </c>
      <c r="B24" s="5726">
        <v>-0.0074283305840690001</v>
      </c>
      <c r="C24" s="5727">
        <f>IF(.7972982742002687&gt;=0.10,"",IF(.7972982742002687&gt;=0.05,"*",IF(.7972982742002687&gt;=0.01,"**",IF(.7972982742002687&gt;=0,"***",""))))</f>
      </c>
      <c r="D24" s="5728">
        <v>0.79729827420026866</v>
      </c>
      <c r="E24" s="5729"/>
      <c r="F24" s="5730"/>
      <c r="G24" s="5731" t="s">
        <v>2</v>
      </c>
      <c r="H24" s="5732">
        <v>-0.038450502074568897</v>
      </c>
      <c r="I24" s="5733">
        <f>IF(.8129598139535283&gt;=0.10,"",IF(.8129598139535283&gt;=0.05,"*",IF(.8129598139535283&gt;=0.01,"**",IF(.8129598139535283&gt;=0,"***",""))))</f>
      </c>
      <c r="J24" s="5734">
        <v>0.81295981395352834</v>
      </c>
    </row>
    <row r="25">
      <c r="A25" s="5735"/>
      <c r="B25" s="5736"/>
      <c r="C25" s="5737"/>
      <c r="D25" s="5738"/>
      <c r="E25" s="5739"/>
      <c r="F25" s="5740"/>
      <c r="G25" s="5741"/>
      <c r="H25" s="5742"/>
      <c r="I25" s="5743"/>
      <c r="J25" s="5744"/>
    </row>
    <row r="26">
      <c r="A26" s="5745" t="s">
        <v>11</v>
      </c>
      <c r="B26" s="5746">
        <v>0.0060331640588097996</v>
      </c>
      <c r="C26" s="5747">
        <f>IF(.8080187558051408&gt;=0.10,"",IF(.8080187558051408&gt;=0.05,"*",IF(.8080187558051408&gt;=0.01,"**",IF(.8080187558051408&gt;=0,"***",""))))</f>
      </c>
      <c r="D26" s="5748">
        <v>0.80801875580514082</v>
      </c>
      <c r="E26" s="5749"/>
      <c r="F26" s="5750"/>
      <c r="G26" s="5751" t="s">
        <v>12</v>
      </c>
      <c r="H26" s="5752">
        <v>-0.76500381327975475</v>
      </c>
      <c r="I26" s="5753">
        <f>IF(.1535930571633955&gt;=0.10,"",IF(.1535930571633955&gt;=0.05,"*",IF(.1535930571633955&gt;=0.01,"**",IF(.1535930571633955&gt;=0,"***",""))))</f>
      </c>
      <c r="J26" s="5754">
        <v>0.1535930571633955</v>
      </c>
    </row>
    <row r="27">
      <c r="A27" s="5755" t="s">
        <v>10</v>
      </c>
      <c r="B27" s="5756">
        <v>0.00015900284248079999</v>
      </c>
      <c r="C27" s="5757">
        <f>IF(.9949689858862445&gt;=0.10,"",IF(.9949689858862445&gt;=0.05,"*",IF(.9949689858862445&gt;=0.01,"**",IF(.9949689858862445&gt;=0,"***",""))))</f>
      </c>
      <c r="D27" s="5758">
        <v>0.99496898588624449</v>
      </c>
      <c r="E27" s="5759"/>
      <c r="F27" s="5760"/>
      <c r="G27" s="5761" t="s">
        <v>10</v>
      </c>
      <c r="H27" s="5762">
        <v>0.11961043757516759</v>
      </c>
      <c r="I27" s="5763">
        <f>IF(.4100848459995553&gt;=0.10,"",IF(.4100848459995553&gt;=0.05,"*",IF(.4100848459995553&gt;=0.01,"**",IF(.4100848459995553&gt;=0,"***",""))))</f>
      </c>
      <c r="J27" s="5764">
        <v>0.4100848459995553</v>
      </c>
    </row>
    <row r="28">
      <c r="A28" s="5765" t="s">
        <v>69</v>
      </c>
      <c r="B28" s="5766" t="s">
        <v>70</v>
      </c>
      <c r="C28" s="5767"/>
      <c r="D28" s="5768"/>
      <c r="E28" s="5769"/>
      <c r="F28" s="5770"/>
      <c r="G28" s="5771" t="s">
        <v>127</v>
      </c>
      <c r="H28" s="5772" t="s">
        <v>70</v>
      </c>
      <c r="I28" s="5773"/>
      <c r="J28" s="5774"/>
    </row>
    <row r="29">
      <c r="A29" s="5775" t="s">
        <v>71</v>
      </c>
      <c r="B29" s="5776" t="s">
        <v>70</v>
      </c>
      <c r="C29" s="5777"/>
      <c r="D29" s="5778"/>
      <c r="E29" s="5779"/>
      <c r="F29" s="5780"/>
      <c r="G29" s="5781" t="s">
        <v>71</v>
      </c>
      <c r="H29" s="5782" t="s">
        <v>128</v>
      </c>
      <c r="I29" s="5783"/>
      <c r="J29" s="5784"/>
    </row>
    <row r="30">
      <c r="A30" s="5785" t="s">
        <v>72</v>
      </c>
      <c r="B30" s="5786" t="s">
        <v>75</v>
      </c>
      <c r="C30" s="5787"/>
      <c r="D30" s="5788"/>
      <c r="E30" s="5789"/>
      <c r="F30" s="5790"/>
      <c r="G30" s="5791" t="s">
        <v>72</v>
      </c>
      <c r="H30" s="5792" t="s">
        <v>75</v>
      </c>
      <c r="I30" s="5793"/>
      <c r="J30" s="5794"/>
    </row>
    <row r="31">
      <c r="A31" s="5795" t="s">
        <v>73</v>
      </c>
      <c r="B31" s="5796" t="s">
        <v>76</v>
      </c>
      <c r="C31" s="5797"/>
      <c r="D31" s="5798"/>
      <c r="E31" s="5799"/>
      <c r="F31" s="5800"/>
      <c r="G31" s="5801" t="s">
        <v>73</v>
      </c>
      <c r="H31" s="5802" t="s">
        <v>76</v>
      </c>
      <c r="I31" s="5803"/>
      <c r="J31" s="5804"/>
    </row>
    <row r="32">
      <c r="A32" s="5805" t="s">
        <v>1</v>
      </c>
      <c r="B32" s="5806">
        <v>277</v>
      </c>
      <c r="C32" s="5807"/>
      <c r="D32" s="5808"/>
      <c r="E32" s="5809"/>
      <c r="F32" s="5810"/>
      <c r="G32" s="5811" t="s">
        <v>1</v>
      </c>
      <c r="H32" s="5812">
        <v>834</v>
      </c>
      <c r="I32" s="5813"/>
      <c r="J32" s="5814"/>
    </row>
    <row r="33">
      <c r="A33" s="5815" t="s">
        <v>74</v>
      </c>
      <c r="B33" s="5816">
        <v>0.105957547364448</v>
      </c>
      <c r="C33" s="5817"/>
      <c r="D33" s="5818"/>
      <c r="E33" s="5819"/>
      <c r="F33" s="5820"/>
      <c r="G33" s="5821" t="s">
        <v>74</v>
      </c>
      <c r="H33" s="5822">
        <v>0.45446638370075898</v>
      </c>
      <c r="I33" s="5823"/>
      <c r="J33" s="5824"/>
    </row>
  </sheetData>
  <mergeCells count="56">
    <mergeCell ref="A5:D5"/>
    <mergeCell ref="B6:D6"/>
    <mergeCell ref="B7:D7"/>
    <mergeCell ref="B8:C8"/>
    <mergeCell ref="A9:A10"/>
    <mergeCell ref="B9:B10"/>
    <mergeCell ref="C9:C10"/>
    <mergeCell ref="D9:D10"/>
    <mergeCell ref="B13:D13"/>
    <mergeCell ref="B14:D14"/>
    <mergeCell ref="B15:D15"/>
    <mergeCell ref="B16:D16"/>
    <mergeCell ref="B17:D17"/>
    <mergeCell ref="B18:D18"/>
    <mergeCell ref="G5:J5"/>
    <mergeCell ref="H6:J6"/>
    <mergeCell ref="H7:J7"/>
    <mergeCell ref="H8:I8"/>
    <mergeCell ref="G9:G10"/>
    <mergeCell ref="H9:H10"/>
    <mergeCell ref="I9:I10"/>
    <mergeCell ref="J9:J10"/>
    <mergeCell ref="H13:J13"/>
    <mergeCell ref="H14:J14"/>
    <mergeCell ref="H15:J15"/>
    <mergeCell ref="H16:J16"/>
    <mergeCell ref="H17:J17"/>
    <mergeCell ref="H18:J18"/>
    <mergeCell ref="A20:D20"/>
    <mergeCell ref="B21:D21"/>
    <mergeCell ref="B22:D22"/>
    <mergeCell ref="B23:C23"/>
    <mergeCell ref="A24:A25"/>
    <mergeCell ref="B24:B25"/>
    <mergeCell ref="C24:C25"/>
    <mergeCell ref="D24:D25"/>
    <mergeCell ref="B28:D28"/>
    <mergeCell ref="B29:D29"/>
    <mergeCell ref="B30:D30"/>
    <mergeCell ref="B31:D31"/>
    <mergeCell ref="B32:D32"/>
    <mergeCell ref="B33:D33"/>
    <mergeCell ref="G20:J20"/>
    <mergeCell ref="H21:J21"/>
    <mergeCell ref="H23:I23"/>
    <mergeCell ref="G24:G25"/>
    <mergeCell ref="H24:H25"/>
    <mergeCell ref="I24:I25"/>
    <mergeCell ref="J24:J25"/>
    <mergeCell ref="H28:J28"/>
    <mergeCell ref="H29:J29"/>
    <mergeCell ref="H30:J30"/>
    <mergeCell ref="H31:J31"/>
    <mergeCell ref="H32:J32"/>
    <mergeCell ref="H33:J33"/>
    <mergeCell ref="A3:J3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:H22"/>
  <sheetFormatPr defaultRowHeight="15"/>
  <sheetData>
    <row r="1">
      <c r="A1" s="6145"/>
      <c r="B1" s="6146"/>
      <c r="C1" s="6147"/>
      <c r="D1" s="6148"/>
      <c r="E1" s="6149"/>
      <c r="F1" s="6150"/>
      <c r="G1" s="6151"/>
      <c r="H1" s="6152"/>
    </row>
    <row r="2">
      <c r="A2" s="6153"/>
      <c r="B2" s="6154"/>
      <c r="C2" s="6155"/>
      <c r="D2" s="6156"/>
      <c r="E2" s="6157"/>
      <c r="F2" s="6158"/>
      <c r="G2" s="6159"/>
      <c r="H2" s="6160"/>
    </row>
    <row r="3">
      <c r="A3" s="6161" t="s">
        <v>134</v>
      </c>
      <c r="B3" s="6162"/>
      <c r="C3" s="6163"/>
      <c r="D3" s="6164"/>
      <c r="E3" s="6165"/>
      <c r="F3" s="6166"/>
      <c r="G3" s="6167"/>
      <c r="H3" s="6168"/>
    </row>
    <row r="4">
      <c r="A4" s="6169"/>
      <c r="B4" s="6170"/>
      <c r="C4" s="6171"/>
      <c r="D4" s="6172"/>
      <c r="E4" s="6173"/>
      <c r="F4" s="6174"/>
      <c r="G4" s="6175"/>
      <c r="H4" s="6176"/>
    </row>
    <row r="5">
      <c r="A5" s="6177" t="s">
        <v>130</v>
      </c>
      <c r="B5" s="6178"/>
      <c r="C5" s="6179"/>
      <c r="D5" s="6180"/>
      <c r="E5" s="6181"/>
      <c r="F5" s="6182"/>
      <c r="G5" s="6183"/>
      <c r="H5" s="6184"/>
    </row>
    <row r="6">
      <c r="A6" s="6185" t="s">
        <v>67</v>
      </c>
      <c r="B6" s="6186" t="s">
        <v>131</v>
      </c>
      <c r="C6" s="6187"/>
      <c r="D6" s="6188"/>
      <c r="E6" s="6189"/>
      <c r="F6" s="6190" t="s">
        <v>132</v>
      </c>
      <c r="G6" s="6191"/>
      <c r="H6" s="6192"/>
    </row>
    <row r="7">
      <c r="A7" s="6193"/>
      <c r="B7" s="6194" t="s">
        <v>68</v>
      </c>
      <c r="C7" s="6195"/>
      <c r="D7" s="6196" t="s">
        <v>63</v>
      </c>
      <c r="E7" s="6197"/>
      <c r="F7" s="6198" t="s">
        <v>68</v>
      </c>
      <c r="G7" s="6199"/>
      <c r="H7" s="6200" t="s">
        <v>63</v>
      </c>
    </row>
    <row r="8">
      <c r="A8" s="6201" t="s">
        <v>80</v>
      </c>
      <c r="B8" s="6202">
        <v>-0.0011618923582009</v>
      </c>
      <c r="C8" s="6203">
        <f>IF(.5825746275670836&gt;=0.10,"",IF(.5825746275670836&gt;=0.05,"*",IF(.5825746275670836&gt;=0.01,"**",IF(.5825746275670836&gt;=0,"***",""))))</f>
      </c>
      <c r="D8" s="6204">
        <v>0.58257462756708356</v>
      </c>
      <c r="E8" s="6205"/>
      <c r="F8" s="6206">
        <v>0.024169334587095699</v>
      </c>
      <c r="G8" s="6207">
        <f>IF(.1508833379787918&gt;=0.10,"",IF(.1508833379787918&gt;=0.05,"*",IF(.1508833379787918&gt;=0.01,"**",IF(.1508833379787918&gt;=0,"***",""))))</f>
      </c>
      <c r="H8" s="6208">
        <v>0.1508833379787918</v>
      </c>
    </row>
    <row r="9">
      <c r="A9" s="6209"/>
      <c r="B9" s="6210"/>
      <c r="C9" s="6211"/>
      <c r="D9" s="6212"/>
      <c r="E9" s="6213"/>
      <c r="F9" s="6214"/>
      <c r="G9" s="6215"/>
      <c r="H9" s="6216"/>
    </row>
    <row r="10">
      <c r="A10" s="6217" t="s">
        <v>81</v>
      </c>
      <c r="B10" s="6218">
        <v>0.0032288405619213</v>
      </c>
      <c r="C10" s="6219">
        <f>IF(.23252189344984&gt;=0.10,"",IF(.23252189344984&gt;=0.05,"*",IF(.23252189344984&gt;=0.01,"**",IF(.23252189344984&gt;=0,"***",""))))</f>
      </c>
      <c r="D10" s="6220">
        <v>0.23252189344984001</v>
      </c>
      <c r="E10" s="6221"/>
      <c r="F10" s="6222">
        <v>0.022938363061507702</v>
      </c>
      <c r="G10" s="6223">
        <f>IF(.1227043983930969&gt;=0.10,"",IF(.1227043983930969&gt;=0.05,"*",IF(.1227043983930969&gt;=0.01,"**",IF(.1227043983930969&gt;=0,"***",""))))</f>
      </c>
      <c r="H10" s="6224">
        <v>0.12270439839309689</v>
      </c>
    </row>
    <row r="11">
      <c r="A11" s="6225"/>
      <c r="B11" s="6226"/>
      <c r="C11" s="6227"/>
      <c r="D11" s="6228"/>
      <c r="E11" s="6229"/>
      <c r="F11" s="6230"/>
      <c r="G11" s="6231"/>
      <c r="H11" s="6232"/>
    </row>
    <row r="12">
      <c r="A12" s="6233" t="s">
        <v>82</v>
      </c>
      <c r="B12" s="6234">
        <v>-0.0074269952823097004</v>
      </c>
      <c r="C12" s="6235">
        <f>IF(.0162146658638553&gt;=0.10,"",IF(.0162146658638553&gt;=0.05,"*",IF(.0162146658638553&gt;=0.01,"**",IF(.0162146658638553&gt;=0,"***",""))))</f>
      </c>
      <c r="D12" s="6236">
        <v>0.016214665863855299</v>
      </c>
      <c r="E12" s="6237"/>
      <c r="F12" s="6238">
        <v>-0.041224902291911003</v>
      </c>
      <c r="G12" s="6239">
        <f>IF(.0433458519620958&gt;=0.10,"",IF(.0433458519620958&gt;=0.05,"*",IF(.0433458519620958&gt;=0.01,"**",IF(.0433458519620958&gt;=0,"***",""))))</f>
      </c>
      <c r="H12" s="6240">
        <v>0.043345851962095797</v>
      </c>
    </row>
    <row r="13">
      <c r="A13" s="6241"/>
      <c r="B13" s="6242"/>
      <c r="C13" s="6243"/>
      <c r="D13" s="6244"/>
      <c r="E13" s="6245"/>
      <c r="F13" s="6246"/>
      <c r="G13" s="6247"/>
      <c r="H13" s="6248"/>
    </row>
    <row r="14">
      <c r="A14" s="6249" t="s">
        <v>71</v>
      </c>
      <c r="B14" s="6250" t="s">
        <v>84</v>
      </c>
      <c r="C14" s="6251"/>
      <c r="D14" s="6252"/>
      <c r="E14" s="6253"/>
      <c r="F14" s="6254" t="s">
        <v>84</v>
      </c>
      <c r="G14" s="6255"/>
      <c r="H14" s="6256"/>
    </row>
    <row r="15">
      <c r="A15" s="6257" t="s">
        <v>72</v>
      </c>
      <c r="B15" s="6258" t="s">
        <v>133</v>
      </c>
      <c r="C15" s="6259"/>
      <c r="D15" s="6260"/>
      <c r="E15" s="6261"/>
      <c r="F15" s="6262" t="s">
        <v>133</v>
      </c>
      <c r="G15" s="6263"/>
      <c r="H15" s="6264"/>
    </row>
    <row r="16">
      <c r="A16" s="6265" t="s">
        <v>73</v>
      </c>
      <c r="B16" s="6266" t="s">
        <v>76</v>
      </c>
      <c r="C16" s="6267"/>
      <c r="D16" s="6268"/>
      <c r="E16" s="6269"/>
      <c r="F16" s="6270" t="s">
        <v>76</v>
      </c>
      <c r="G16" s="6271"/>
      <c r="H16" s="6272"/>
    </row>
    <row r="17">
      <c r="A17" s="6273" t="s">
        <v>1</v>
      </c>
      <c r="B17" s="6274">
        <v>611</v>
      </c>
      <c r="C17" s="6275"/>
      <c r="D17" s="6276"/>
      <c r="E17" s="6277"/>
      <c r="F17" s="6278">
        <v>611</v>
      </c>
      <c r="G17" s="6279"/>
      <c r="H17" s="6280"/>
    </row>
    <row r="18">
      <c r="A18" s="6281" t="s">
        <v>74</v>
      </c>
      <c r="B18" s="6282">
        <v>0.16676750770604279</v>
      </c>
      <c r="C18" s="6283"/>
      <c r="D18" s="6284"/>
      <c r="E18" s="6285"/>
      <c r="F18" s="6286">
        <v>0.0987294281349302</v>
      </c>
      <c r="G18" s="6287"/>
      <c r="H18" s="6288"/>
    </row>
    <row r="19">
      <c r="A19" s="6289"/>
      <c r="B19" s="6290"/>
      <c r="C19" s="6291"/>
      <c r="D19" s="6292"/>
      <c r="E19" s="6293"/>
      <c r="F19" s="6294"/>
      <c r="G19" s="6295"/>
      <c r="H19" s="6296"/>
    </row>
    <row r="20">
      <c r="A20" s="6297"/>
      <c r="B20" s="6298"/>
      <c r="C20" s="6299"/>
      <c r="D20" s="6300"/>
      <c r="E20" s="6301"/>
      <c r="F20" s="6302"/>
      <c r="G20" s="6303"/>
      <c r="H20" s="6304"/>
    </row>
    <row r="21">
      <c r="A21" s="6305"/>
      <c r="B21" s="6306"/>
      <c r="C21" s="6307"/>
      <c r="D21" s="6308"/>
      <c r="E21" s="6309"/>
      <c r="F21" s="6310"/>
      <c r="G21" s="6311"/>
      <c r="H21" s="6312"/>
    </row>
    <row r="22">
      <c r="A22" s="6313"/>
      <c r="B22" s="6314"/>
      <c r="C22" s="6315"/>
      <c r="D22" s="6316"/>
      <c r="E22" s="6317"/>
      <c r="F22" s="6318"/>
      <c r="G22" s="6319"/>
      <c r="H22" s="6320"/>
    </row>
  </sheetData>
  <mergeCells count="40">
    <mergeCell ref="A5:H5"/>
    <mergeCell ref="B6:D6"/>
    <mergeCell ref="B7:C7"/>
    <mergeCell ref="F6:H6"/>
    <mergeCell ref="F7:G7"/>
    <mergeCell ref="A8:A9"/>
    <mergeCell ref="B8:B9"/>
    <mergeCell ref="C8:C9"/>
    <mergeCell ref="D8:D9"/>
    <mergeCell ref="E8:E9"/>
    <mergeCell ref="F8:F9"/>
    <mergeCell ref="G8:G9"/>
    <mergeCell ref="H8:H9"/>
    <mergeCell ref="A10:A11"/>
    <mergeCell ref="B10:B11"/>
    <mergeCell ref="C10:C11"/>
    <mergeCell ref="D10:D11"/>
    <mergeCell ref="E10:E11"/>
    <mergeCell ref="F10:F11"/>
    <mergeCell ref="G10:G11"/>
    <mergeCell ref="H10:H11"/>
    <mergeCell ref="A12:A13"/>
    <mergeCell ref="B12:B13"/>
    <mergeCell ref="C12:C13"/>
    <mergeCell ref="D12:D13"/>
    <mergeCell ref="E12:E13"/>
    <mergeCell ref="F12:F13"/>
    <mergeCell ref="G12:G13"/>
    <mergeCell ref="H12:H13"/>
    <mergeCell ref="B14:D14"/>
    <mergeCell ref="F14:H14"/>
    <mergeCell ref="B15:D15"/>
    <mergeCell ref="F15:H15"/>
    <mergeCell ref="B16:D16"/>
    <mergeCell ref="F16:H16"/>
    <mergeCell ref="B17:D17"/>
    <mergeCell ref="B18:D18"/>
    <mergeCell ref="F17:H17"/>
    <mergeCell ref="F18:H18"/>
    <mergeCell ref="A3:H3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1"/>
  <sheetFormatPr defaultRowHeight="15"/>
  <sheetData>
    <row r="1">
      <c r="A1" s="6483"/>
      <c r="B1" s="6484"/>
      <c r="C1" s="6485"/>
      <c r="D1" s="6486"/>
    </row>
    <row r="2">
      <c r="A2" s="6487"/>
      <c r="B2" s="6488"/>
      <c r="C2" s="6489"/>
      <c r="D2" s="6490"/>
    </row>
    <row r="3">
      <c r="A3" s="6491" t="s">
        <v>139</v>
      </c>
      <c r="B3" s="6492"/>
      <c r="C3" s="6493"/>
      <c r="D3" s="6494"/>
    </row>
    <row r="4">
      <c r="A4" s="6495"/>
      <c r="B4" s="6496"/>
      <c r="C4" s="6497"/>
      <c r="D4" s="6498"/>
    </row>
    <row r="5">
      <c r="A5" s="6499" t="s">
        <v>135</v>
      </c>
      <c r="B5" s="6500"/>
      <c r="C5" s="6501"/>
      <c r="D5" s="6502"/>
    </row>
    <row r="6">
      <c r="A6" s="6503" t="s">
        <v>67</v>
      </c>
      <c r="B6" s="6504" t="s">
        <v>60</v>
      </c>
      <c r="C6" s="6505"/>
      <c r="D6" s="6506"/>
    </row>
    <row r="7">
      <c r="A7" s="6507"/>
      <c r="B7" s="6508" t="s">
        <v>68</v>
      </c>
      <c r="C7" s="6509"/>
      <c r="D7" s="6510" t="s">
        <v>63</v>
      </c>
    </row>
    <row r="8">
      <c r="A8" s="6511" t="s">
        <v>136</v>
      </c>
      <c r="B8" s="6512">
        <v>0.080605155172969803</v>
      </c>
      <c r="C8" s="6513">
        <f>IF(.0001024818007929&gt;=0.10,"",IF(.0001024818007929&gt;=0.05,"*",IF(.0001024818007929&gt;=0.01,"**",IF(.0001024818007929&gt;=0,"***",""))))</f>
      </c>
      <c r="D8" s="6514">
        <v>0.00010248180079290001</v>
      </c>
    </row>
    <row r="9">
      <c r="A9" s="6515"/>
      <c r="B9" s="6516"/>
      <c r="C9" s="6517"/>
      <c r="D9" s="6518"/>
    </row>
    <row r="10">
      <c r="A10" s="6519" t="s">
        <v>137</v>
      </c>
      <c r="B10" s="6520">
        <v>-0.028488352822503799</v>
      </c>
      <c r="C10" s="6521">
        <f>IF(.51246052319851&gt;=0.10,"",IF(.51246052319851&gt;=0.05,"*",IF(.51246052319851&gt;=0.01,"**",IF(.51246052319851&gt;=0,"***",""))))</f>
      </c>
      <c r="D10" s="6522">
        <v>0.51246052319850999</v>
      </c>
    </row>
    <row r="11">
      <c r="A11" s="6523"/>
      <c r="B11" s="6524"/>
      <c r="C11" s="6525"/>
      <c r="D11" s="6526"/>
    </row>
    <row r="12">
      <c r="A12" s="6527" t="s">
        <v>138</v>
      </c>
      <c r="B12" s="6528">
        <v>0.1064588045711445</v>
      </c>
      <c r="C12" s="6529">
        <f>IF(.0922498967228026&gt;=0.10,"",IF(.0922498967228026&gt;=0.05,"*",IF(.0922498967228026&gt;=0.01,"**",IF(.0922498967228026&gt;=0,"***",""))))</f>
      </c>
      <c r="D12" s="6530">
        <v>0.092249896722802593</v>
      </c>
    </row>
    <row r="13">
      <c r="A13" s="6531"/>
      <c r="B13" s="6532"/>
      <c r="C13" s="6533"/>
      <c r="D13" s="6534"/>
    </row>
    <row r="14">
      <c r="A14" s="6535" t="s">
        <v>11</v>
      </c>
      <c r="B14" s="6536">
        <v>-0.011368951316692201</v>
      </c>
      <c r="C14" s="6537">
        <f>IF(.3498963497641824&gt;=0.10,"",IF(.3498963497641824&gt;=0.05,"*",IF(.3498963497641824&gt;=0.01,"**",IF(.3498963497641824&gt;=0,"***",""))))</f>
      </c>
      <c r="D14" s="6538">
        <v>0.34989634976418238</v>
      </c>
    </row>
    <row r="15">
      <c r="A15" s="6539" t="s">
        <v>10</v>
      </c>
      <c r="B15" s="6540">
        <v>-0.0108066298942172</v>
      </c>
      <c r="C15" s="6541">
        <f>IF(.420068049339991&gt;=0.10,"",IF(.420068049339991&gt;=0.05,"*",IF(.420068049339991&gt;=0.01,"**",IF(.420068049339991&gt;=0,"***",""))))</f>
      </c>
      <c r="D15" s="6542">
        <v>0.42006804933999098</v>
      </c>
    </row>
    <row r="16">
      <c r="A16" s="6543" t="s">
        <v>69</v>
      </c>
      <c r="B16" s="6544" t="s">
        <v>70</v>
      </c>
      <c r="C16" s="6545"/>
      <c r="D16" s="6546"/>
    </row>
    <row r="17">
      <c r="A17" s="6547" t="s">
        <v>71</v>
      </c>
      <c r="B17" s="6548" t="s">
        <v>70</v>
      </c>
      <c r="C17" s="6549"/>
      <c r="D17" s="6550"/>
    </row>
    <row r="18">
      <c r="A18" s="6551" t="s">
        <v>72</v>
      </c>
      <c r="B18" s="6552" t="s">
        <v>133</v>
      </c>
      <c r="C18" s="6553"/>
      <c r="D18" s="6554"/>
    </row>
    <row r="19">
      <c r="A19" s="6555" t="s">
        <v>73</v>
      </c>
      <c r="B19" s="6556" t="s">
        <v>87</v>
      </c>
      <c r="C19" s="6557"/>
      <c r="D19" s="6558"/>
    </row>
    <row r="20">
      <c r="A20" s="6559" t="s">
        <v>1</v>
      </c>
      <c r="B20" s="6560">
        <v>1113</v>
      </c>
      <c r="C20" s="6561"/>
      <c r="D20" s="6562"/>
    </row>
    <row r="21">
      <c r="A21" s="6563" t="s">
        <v>74</v>
      </c>
      <c r="B21" s="6564">
        <v>0.13772250507357561</v>
      </c>
      <c r="C21" s="6565"/>
      <c r="D21" s="6566"/>
    </row>
  </sheetData>
  <mergeCells count="22">
    <mergeCell ref="A5:D5"/>
    <mergeCell ref="B6:D6"/>
    <mergeCell ref="B7:C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B16:D16"/>
    <mergeCell ref="B17:D17"/>
    <mergeCell ref="B18:D18"/>
    <mergeCell ref="B19:D19"/>
    <mergeCell ref="B20:D20"/>
    <mergeCell ref="B21:D21"/>
    <mergeCell ref="A3:D3"/>
  </mergeCells>
</worksheet>
</file>